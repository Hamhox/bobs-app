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f330f3cb2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1db52fa81f94749"/>
    <x:sheet xmlns:r="http://schemas.openxmlformats.org/officeDocument/2006/relationships" name="SKU Map" sheetId="2" r:id="R2c88081aec3e4949"/>
    <x:sheet xmlns:r="http://schemas.openxmlformats.org/officeDocument/2006/relationships" name="Inventory" sheetId="3" r:id="R18801c0f5f084e46"/>
    <x:sheet xmlns:r="http://schemas.openxmlformats.org/officeDocument/2006/relationships" name="BOM" sheetId="4" r:id="Raeab0340bd7648b0"/>
    <x:sheet xmlns:r="http://schemas.openxmlformats.org/officeDocument/2006/relationships" name="Item Metadata" sheetId="5" r:id="R12a8e49ff60a448b"/>
    <x:sheet xmlns:r="http://schemas.openxmlformats.org/officeDocument/2006/relationships" name="Tree" sheetId="6" r:id="R8120437cf0584d57"/>
    <x:sheet xmlns:r="http://schemas.openxmlformats.org/officeDocument/2006/relationships" name="Exploded Leaves" sheetId="7" r:id="R24f6388d55d442b8"/>
    <x:sheet xmlns:r="http://schemas.openxmlformats.org/officeDocument/2006/relationships" name="Sources" sheetId="8" r:id="Rb4cf7cc1bbf64005"/>
    <x:sheet xmlns:r="http://schemas.openxmlformats.org/officeDocument/2006/relationships" name="Validation" sheetId="9" r:id="R04a4b797e7354300"/>
  </x:sheets>
</x:workbook>
</file>

<file path=xl/comments1.xml><?xml version="1.0" encoding="utf-8"?>
<x:comments xmlns:x="http://schemas.openxmlformats.org/spreadsheetml/2006/main">
  <x:authors>
    <x:author>tc={4C222E0A-1DC7-57D1-5F4D-AB96BBC2D28F}</x:author>
  </x:authors>
  <x:commentList>
    <x:comment ref="A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distinction among recovered, documented, comparative, reconstructed and fictional material is intentional. It lets the demo remain fascinating without presenting a synthetic manifest as an archival fact.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#,##0.###"/>
    <x:numFmt numFmtId="202" formatCode="#,##0.00"/>
    <x:numFmt numFmtId="203" formatCode="@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3E7CC"/>
      <x:name val="Carlito"/>
    </x:font>
    <x:font>
      <x:b/>
      <x:sz val="11"/>
      <x:color rgb="FF0A0E17"/>
      <x:name val="Carlito"/>
    </x:font>
    <x:font>
      <x:b/>
      <x:sz val="13"/>
      <x:color rgb="FF8A3B2E"/>
      <x:name val="Carlito"/>
    </x:font>
    <x:font>
      <x:b/>
      <x:sz val="11"/>
      <x:color rgb="FF284B63"/>
      <x:name val="Carlito"/>
    </x:font>
    <x:font>
      <x:b/>
      <x:sz val="11"/>
      <x:color rgb="FF8A3B2E"/>
      <x:name val="Carlito"/>
    </x:font>
    <x:font>
      <x:sz val="11"/>
      <x:color rgb="FF0A0E17"/>
      <x:name val="Carlito"/>
    </x:font>
    <x:font>
      <x:b/>
      <x:sz val="18"/>
      <x:color rgb="FFFFFFFF"/>
      <x:name val="Aptos"/>
    </x:font>
    <x:font>
      <x:i/>
      <x:sz val="10"/>
      <x:color rgb="FFF3E7CC"/>
      <x:name val="Aptos"/>
    </x:font>
    <x:font>
      <x:sz val="11"/>
      <x:name val="Aptos"/>
    </x:font>
    <x:font>
      <x:b/>
      <x:sz val="11"/>
      <x:color rgb="FF0A0E17"/>
      <x:name val="Aptos"/>
    </x:font>
    <x:font>
      <x:b/>
      <x:sz val="13"/>
      <x:color rgb="FF8A3B2E"/>
      <x:name val="Aptos"/>
    </x:font>
    <x:font>
      <x:b/>
      <x:sz val="11"/>
      <x:color rgb="FF284B63"/>
      <x:name val="Aptos"/>
    </x:font>
    <x:font>
      <x:b/>
      <x:sz val="11"/>
      <x:color rgb="FF8A3B2E"/>
      <x:name val="Aptos"/>
    </x:font>
    <x:font>
      <x:sz val="11"/>
      <x:color rgb="FF0A0E17"/>
      <x:name val="Aptos"/>
    </x:font>
    <x:font>
      <x:sz val="10"/>
      <x:color rgb="FF0A0E17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A0E17"/>
      </x:patternFill>
    </x:fill>
    <x:fill>
      <x:patternFill patternType="solid">
        <x:fgColor rgb="FF142230"/>
      </x:patternFill>
    </x:fill>
    <x:fill>
      <x:patternFill patternType="solid">
        <x:fgColor rgb="FFB8893D"/>
      </x:patternFill>
    </x:fill>
    <x:fill>
      <x:patternFill patternType="solid">
        <x:fgColor rgb="FFFAF6ED"/>
      </x:patternFill>
    </x:fill>
    <x:fill>
      <x:patternFill patternType="solid">
        <x:fgColor rgb="FFF3E7CC"/>
      </x:patternFill>
    </x:fill>
    <x:fill>
      <x:patternFill patternType="solid">
        <x:fgColor rgb="FF284B63"/>
      </x:patternFill>
    </x:fill>
  </x:fills>
  <x:borders count="12">
    <x:border/>
    <x:border>
      <x:left style="thin">
        <x:color rgb="FFD7C9AB"/>
      </x:left>
      <x:top style="thin">
        <x:color rgb="FFD7C9AB"/>
      </x:top>
    </x:border>
    <x:border>
      <x:top style="thin">
        <x:color rgb="FFD7C9AB"/>
      </x:top>
    </x:border>
    <x:border>
      <x:right style="thin">
        <x:color rgb="FFD7C9AB"/>
      </x:right>
      <x:top style="thin">
        <x:color rgb="FFD7C9AB"/>
      </x:top>
    </x:border>
    <x:border>
      <x:left style="thin">
        <x:color rgb="FFD7C9AB"/>
      </x:left>
    </x:border>
    <x:border>
      <x:right style="thin">
        <x:color rgb="FFD7C9AB"/>
      </x:right>
    </x:border>
    <x:border>
      <x:left style="thin">
        <x:color rgb="FFD7C9AB"/>
      </x:left>
      <x:bottom style="thin">
        <x:color rgb="FFD7C9AB"/>
      </x:bottom>
    </x:border>
    <x:border>
      <x:bottom style="thin">
        <x:color rgb="FFD7C9AB"/>
      </x:bottom>
    </x:border>
    <x:border>
      <x:right style="thin">
        <x:color rgb="FFD7C9AB"/>
      </x:right>
      <x:bottom style="thin">
        <x:color rgb="FFD7C9AB"/>
      </x:bottom>
    </x:border>
    <x:border>
      <x:left style="thin">
        <x:color rgb="FF0A0E17"/>
      </x:left>
      <x:top style="thin">
        <x:color rgb="FF0A0E17"/>
      </x:top>
      <x:bottom style="thin">
        <x:color rgb="FF0A0E17"/>
      </x:bottom>
    </x:border>
    <x:border>
      <x:top style="thin">
        <x:color rgb="FF0A0E17"/>
      </x:top>
      <x:bottom style="thin">
        <x:color rgb="FF0A0E17"/>
      </x:bottom>
    </x:border>
    <x:border>
      <x:right style="thin">
        <x:color rgb="FF0A0E17"/>
      </x:right>
      <x:top style="thin">
        <x:color rgb="FF0A0E17"/>
      </x:top>
      <x:bottom style="thin">
        <x:color rgb="FF0A0E17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200" fontId="12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4" fillId="0" borderId="0" xfId="0" applyNumberFormat="1" applyFont="1" applyFill="1" applyBorder="1"/>
    <x:xf numFmtId="0" fontId="15" fillId="6" borderId="1" xfId="0" applyNumberFormat="1" applyFont="1" applyFill="1" applyBorder="1" applyAlignment="1">
      <x:alignment wrapText="1"/>
    </x:xf>
    <x:xf numFmtId="0" fontId="15" fillId="6" borderId="2" xfId="0" applyNumberFormat="1" applyFont="1" applyFill="1" applyBorder="1" applyAlignment="1">
      <x:alignment wrapText="1"/>
    </x:xf>
    <x:xf numFmtId="0" fontId="15" fillId="6" borderId="3" xfId="0" applyNumberFormat="1" applyFont="1" applyFill="1" applyBorder="1" applyAlignment="1">
      <x:alignment wrapText="1"/>
    </x:xf>
    <x:xf numFmtId="0" fontId="15" fillId="6" borderId="4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wrapText="1"/>
    </x:xf>
    <x:xf numFmtId="0" fontId="15" fillId="6" borderId="5" xfId="0" applyNumberFormat="1" applyFont="1" applyFill="1" applyBorder="1" applyAlignment="1">
      <x:alignment wrapText="1"/>
    </x:xf>
    <x:xf numFmtId="0" fontId="15" fillId="6" borderId="6" xfId="0" applyNumberFormat="1" applyFont="1" applyFill="1" applyBorder="1" applyAlignment="1">
      <x:alignment wrapText="1"/>
    </x:xf>
    <x:xf numFmtId="0" fontId="15" fillId="6" borderId="7" xfId="0" applyNumberFormat="1" applyFont="1" applyFill="1" applyBorder="1" applyAlignment="1">
      <x:alignment wrapText="1"/>
    </x:xf>
    <x:xf numFmtId="0" fontId="15" fillId="6" borderId="8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6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9" xfId="0" applyNumberFormat="1" applyFont="1" applyFill="1" applyBorder="1"/>
    <x:xf numFmtId="0" fontId="17" fillId="7" borderId="10" xfId="0" applyNumberFormat="1" applyFont="1" applyFill="1" applyBorder="1"/>
    <x:xf numFmtId="0" fontId="17" fillId="7" borderId="11" xfId="0" applyNumberFormat="1" applyFont="1" applyFill="1" applyBorder="1"/>
    <x:xf numFmtId="0" fontId="17" fillId="7" borderId="9" xfId="0" applyNumberFormat="1" applyFont="1" applyFill="1" applyBorder="1" applyAlignment="1">
      <x:alignment vertical="center"/>
    </x:xf>
    <x:xf numFmtId="0" fontId="17" fillId="7" borderId="10" xfId="0" applyNumberFormat="1" applyFont="1" applyFill="1" applyBorder="1" applyAlignment="1">
      <x:alignment vertical="center"/>
    </x:xf>
    <x:xf numFmtId="0" fontId="17" fillId="7" borderId="11" xfId="0" applyNumberFormat="1" applyFont="1" applyFill="1" applyBorder="1" applyAlignment="1">
      <x:alignment vertical="center"/>
    </x:xf>
    <x:xf numFmtId="201" fontId="16" fillId="0" borderId="0" xfId="0" applyNumberFormat="1" applyFont="1" applyFill="1" applyBorder="1"/>
    <x:xf numFmtId="202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203" fontId="17" fillId="7" borderId="10" xfId="0" applyNumberFormat="1" applyFont="1" applyFill="1" applyBorder="1" applyAlignment="1">
      <x:alignment vertical="center"/>
    </x:xf>
    <x:xf numFmtId="203" fontId="16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8A3B2E"/>
      </x:font>
      <x:fill>
        <x:patternFill>
          <x:bgColor rgb="FFFADBD8"/>
        </x:patternFill>
      </x:fill>
    </x:dxf>
    <x:dxf>
      <x:font>
        <x:b/>
        <x:color rgb="FF8A3B2E"/>
      </x:font>
      <x:fill>
        <x:patternFill>
          <x:bgColor rgb="FFFADBD8"/>
        </x:patternFill>
      </x:fill>
    </x:dxf>
    <x:dxf>
      <x:font>
        <x:b/>
        <x:color rgb="FF8A3B2E"/>
      </x:font>
      <x:fill>
        <x:patternFill>
          <x:bgColor rgb="FFFADBD8"/>
        </x:patternFill>
      </x:fill>
    </x:dxf>
    <x:dxf>
      <x:font>
        <x:b/>
        <x:color rgb="FF2C6E49"/>
      </x:font>
      <x:fill>
        <x:patternFill>
          <x:bgColor rgb="FFD5F5E3"/>
        </x:patternFill>
      </x:fill>
    </x:dxf>
    <x:dxf>
      <x:font>
        <x:b/>
        <x:color rgb="FF8A3B2E"/>
      </x:font>
      <x:fill>
        <x:patternFill patternType="solid">
          <x:bgColor rgb="FFFADBD8"/>
        </x:patternFill>
      </x:fill>
    </x:dxf>
    <x:dxf>
      <x:font>
        <x:b/>
        <x:color rgb="FF8A3B2E"/>
      </x:font>
      <x:fill>
        <x:patternFill patternType="solid">
          <x:bgColor rgb="FFFADBD8"/>
        </x:patternFill>
      </x:fill>
    </x:dxf>
    <x:dxf>
      <x:font>
        <x:b/>
        <x:color rgb="FF8A3B2E"/>
      </x:font>
      <x:fill>
        <x:patternFill patternType="solid">
          <x:bgColor rgb="FFFADBD8"/>
        </x:patternFill>
      </x:fill>
    </x:dxf>
    <x:dxf>
      <x:font>
        <x:b/>
        <x:color rgb="FF2C6E49"/>
      </x:font>
      <x:fill>
        <x:patternFill patternType="solid">
          <x:bgColor rgb="FFD5F5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f96362709470c" /><Relationship Type="http://schemas.openxmlformats.org/officeDocument/2006/relationships/theme" Target="/xl/theme/theme1.xml" Id="R237d0284cf1045cf" /><Relationship Type="http://schemas.openxmlformats.org/officeDocument/2006/relationships/sharedStrings" Target="/xl/sharedStrings.xml" Id="R105119a8fe8e4aaa" /><Relationship Type="http://schemas.openxmlformats.org/officeDocument/2006/relationships/worksheet" Target="/xl/worksheets/sheet1.xml" Id="R31db52fa81f94749" /><Relationship Type="http://schemas.openxmlformats.org/officeDocument/2006/relationships/worksheet" Target="/xl/worksheets/sheet2.xml" Id="R2c88081aec3e4949" /><Relationship Type="http://schemas.openxmlformats.org/officeDocument/2006/relationships/worksheet" Target="/xl/worksheets/sheet3.xml" Id="R18801c0f5f084e46" /><Relationship Type="http://schemas.openxmlformats.org/officeDocument/2006/relationships/worksheet" Target="/xl/worksheets/sheet4.xml" Id="Raeab0340bd7648b0" /><Relationship Type="http://schemas.openxmlformats.org/officeDocument/2006/relationships/worksheet" Target="/xl/worksheets/sheet5.xml" Id="R12a8e49ff60a448b" /><Relationship Type="http://schemas.openxmlformats.org/officeDocument/2006/relationships/worksheet" Target="/xl/worksheets/sheet6.xml" Id="R8120437cf0584d57" /><Relationship Type="http://schemas.openxmlformats.org/officeDocument/2006/relationships/worksheet" Target="/xl/worksheets/sheet7.xml" Id="R24f6388d55d442b8" /><Relationship Type="http://schemas.openxmlformats.org/officeDocument/2006/relationships/worksheet" Target="/xl/worksheets/sheet8.xml" Id="Rb4cf7cc1bbf64005" /><Relationship Type="http://schemas.openxmlformats.org/officeDocument/2006/relationships/worksheet" Target="/xl/worksheets/sheet9.xml" Id="R04a4b797e7354300" /><Relationship Type="http://schemas.microsoft.com/office/2017/10/relationships/person" Target="/xl/persons/person.xml" Id="R5f5ea043ebb24ca4" /></Relationships>
</file>

<file path=xl/persons/person.xml><?xml version="1.0" encoding="utf-8"?>
<xltc:personList xmlns:xltc="http://schemas.microsoft.com/office/spreadsheetml/2018/threadedcomments">
  <xltc:person displayName="Bob Tischendorf" id="{A4B852A2-75D1-4195-9735-E3B59C5FBEA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8" dT="2026-08-14T08:46:08.194" personId="{A4B852A2-75D1-4195-9735-E3B59C5FBEA6}" id="{4C222E0A-1DC7-57D1-5F4D-AB96BBC2D28F}">
    <xltc:text>The distinction among recovered, documented, comparative, reconstructed and fictional material is intentional. It lets the demo remain fascinating without presenting a synthetic manifest as an archival fact.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ba48fa6669c41dd" /><Relationship Type="http://schemas.openxmlformats.org/officeDocument/2006/relationships/vmlDrawing" Target="/xl/drawings/vmldrawing.vml" Id="R67a7201aeb4d454e" /><Relationship Type="http://schemas.microsoft.com/office/2017/10/relationships/threadedComment" Target="/xl/threadedcomments/threadedcomment.xml" Id="R0f4cd2ebd59d4b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5" t="str">
        <x:v>QUEEN ANNE'S REVENGE RECONSTRUCTION</x:v>
      </x:c>
      <x:c r="B1" s="35"/>
      <x:c r="C1" s="35"/>
      <x:c r="D1" s="35"/>
      <x:c r="E1" s="35"/>
      <x:c r="F1" s="35"/>
      <x:c r="G1" s="35"/>
      <x:c r="H1" s="35"/>
    </x:row>
    <x:row r="2" ht="28" customHeight="1">
      <x:c r="A2" s="36" t="str">
        <x:v>Buildbooks recursive BOM data pack • v0.2 • Public demonstration dataset</x:v>
      </x:c>
      <x:c r="B2" s="36"/>
      <x:c r="C2" s="36"/>
      <x:c r="D2" s="36"/>
      <x:c r="E2" s="36"/>
      <x:c r="F2" s="36"/>
      <x:c r="G2" s="36"/>
      <x:c r="H2" s="36"/>
    </x:row>
    <x:row r="3">
      <x:c r="A3" s="37"/>
      <x:c r="B3" s="37"/>
      <x:c r="C3" s="37"/>
      <x:c r="D3" s="37"/>
      <x:c r="E3" s="37"/>
      <x:c r="F3" s="37"/>
      <x:c r="G3" s="37"/>
      <x:c r="H3" s="37"/>
    </x:row>
    <x:row r="4">
      <x:c r="A4" s="38" t="str">
        <x:v>DATASET STATUS</x:v>
      </x:c>
      <x:c r="B4" s="38" t="str"/>
      <x:c r="C4" s="38" t="str"/>
      <x:c r="D4" s="38" t="str"/>
      <x:c r="E4" s="38" t="str"/>
      <x:c r="F4" s="38" t="str"/>
      <x:c r="G4" s="38" t="str"/>
      <x:c r="H4" s="38" t="str"/>
    </x:row>
    <x:row r="5">
      <x:c r="A5" s="39" t="str">
        <x:v>Inventory records</x:v>
      </x:c>
      <x:c r="B5" s="40" t="n">
        <x:f>COUNTA('Inventory'!A4:A431)</x:f>
        <x:v>428</x:v>
      </x:c>
      <x:c r="C5" s="39"/>
      <x:c r="D5" s="41" t="str">
        <x:v>Purpose</x:v>
      </x:c>
      <x:c r="E5" s="41" t="str"/>
      <x:c r="F5" s="41" t="str"/>
      <x:c r="G5" s="41" t="str"/>
      <x:c r="H5" s="41" t="str"/>
    </x:row>
    <x:row r="6">
      <x:c r="A6" s="39" t="str">
        <x:v>BOM relationships</x:v>
      </x:c>
      <x:c r="B6" s="40" t="n">
        <x:f>COUNTA('BOM'!A4:A531)</x:f>
        <x:v>528</x:v>
      </x:c>
      <x:c r="C6" s="39"/>
      <x:c r="D6" s="42" t="str">
        <x:v>Exercise Buildbooks' native parent-child structure with a compelling, publishable replacement dataset.</x:v>
      </x:c>
      <x:c r="E6" s="42" t="str"/>
      <x:c r="F6" s="42" t="str"/>
      <x:c r="G6" s="42" t="str"/>
      <x:c r="H6" s="42" t="str"/>
    </x:row>
    <x:row r="7">
      <x:c r="A7" s="39" t="str">
        <x:v>Ship-specific SKUs</x:v>
      </x:c>
      <x:c r="B7" s="40" t="n">
        <x:f>COUNTIF('SKU Map'!C4:C431,"SHIP-SPECIFIC")</x:f>
        <x:v>54</x:v>
      </x:c>
      <x:c r="C7" s="39"/>
      <x:c r="D7" s="41" t="str">
        <x:v>Importer compatibility</x:v>
      </x:c>
      <x:c r="E7" s="41" t="str"/>
      <x:c r="F7" s="41" t="str"/>
      <x:c r="G7" s="41" t="str"/>
      <x:c r="H7" s="41" t="str"/>
    </x:row>
    <x:row r="8">
      <x:c r="A8" s="39" t="str">
        <x:v>Shared SKUs</x:v>
      </x:c>
      <x:c r="B8" s="40" t="n">
        <x:f>COUNTIF('SKU Map'!C4:C431,"SHARED")</x:f>
        <x:v>374</x:v>
      </x:c>
      <x:c r="C8" s="39"/>
      <x:c r="D8" s="42" t="str">
        <x:v>buildbooks-inventory.tsv uses four source columns. buildbooks-bom.tsv uses three source columns. buildbooks-item-metadata.tsv supplies companion operational and historical fields.</x:v>
      </x:c>
      <x:c r="E8" s="42" t="str"/>
      <x:c r="F8" s="42" t="str"/>
      <x:c r="G8" s="42" t="str"/>
      <x:c r="H8" s="42" t="str"/>
    </x:row>
    <x:row r="9">
      <x:c r="A9" s="39" t="str">
        <x:v>Maximum depth</x:v>
      </x:c>
      <x:c r="B9" s="40" t="n">
        <x:f>MAX('Tree'!A4:A578)</x:f>
        <x:v>6</x:v>
      </x:c>
      <x:c r="C9" s="39"/>
      <x:c r="D9" s="41" t="str">
        <x:v>Historical framing</x:v>
      </x:c>
      <x:c r="E9" s="41" t="str"/>
      <x:c r="F9" s="41" t="str"/>
      <x:c r="G9" s="41" t="str"/>
      <x:c r="H9" s="41" t="str"/>
    </x:row>
    <x:row r="10">
      <x:c r="A10" s="37"/>
      <x:c r="B10" s="37"/>
      <x:c r="C10" s="37"/>
      <x:c r="D10" s="37"/>
      <x:c r="E10" s="37"/>
      <x:c r="F10" s="37"/>
      <x:c r="G10" s="37"/>
      <x:c r="H10" s="37"/>
    </x:row>
    <x:row r="11">
      <x:c r="A11" s="43" t="str">
        <x:v>EVIDENCE RULES</x:v>
      </x:c>
      <x:c r="B11" s="43" t="str"/>
      <x:c r="C11" s="43" t="str"/>
      <x:c r="D11" s="43" t="str"/>
      <x:c r="E11" s="43" t="str"/>
      <x:c r="F11" s="43" t="str"/>
      <x:c r="G11" s="43" t="str"/>
      <x:c r="H11" s="43" t="str"/>
    </x:row>
    <x:row r="12">
      <x:c r="A12" s="44" t="str">
        <x:v>RECOVERED</x:v>
      </x:c>
      <x:c r="B12" s="37" t="str">
        <x:v>Artifact type reported from the QAR wreck site</x:v>
      </x:c>
      <x:c r="C12" s="37"/>
      <x:c r="D12" s="37"/>
      <x:c r="E12" s="37"/>
      <x:c r="F12" s="37"/>
      <x:c r="G12" s="37"/>
      <x:c r="H12" s="37"/>
    </x:row>
    <x:row r="13">
      <x:c r="A13" s="44" t="str">
        <x:v>DOCUMENTED</x:v>
      </x:c>
      <x:c r="B13" s="37" t="str">
        <x:v>Supported by a contemporary record</x:v>
      </x:c>
      <x:c r="C13" s="37"/>
      <x:c r="D13" s="37"/>
      <x:c r="E13" s="37"/>
      <x:c r="F13" s="37"/>
      <x:c r="G13" s="37"/>
      <x:c r="H13" s="37"/>
    </x:row>
    <x:row r="14">
      <x:c r="A14" s="44" t="str">
        <x:v>COMPARATIVE</x:v>
      </x:c>
      <x:c r="B14" s="37" t="str">
        <x:v>Supported by a comparable period vessel or inventory</x:v>
      </x:c>
      <x:c r="C14" s="37"/>
      <x:c r="D14" s="37"/>
      <x:c r="E14" s="37"/>
      <x:c r="F14" s="37"/>
      <x:c r="G14" s="37"/>
      <x:c r="H14" s="37"/>
    </x:row>
    <x:row r="15">
      <x:c r="A15" s="44" t="str">
        <x:v>RECONSTRUCTED</x:v>
      </x:c>
      <x:c r="B15" s="37" t="str">
        <x:v>Plausible operational item, hierarchy or quantity created for the demonstration</x:v>
      </x:c>
      <x:c r="C15" s="37"/>
      <x:c r="D15" s="37"/>
      <x:c r="E15" s="37"/>
      <x:c r="F15" s="37"/>
      <x:c r="G15" s="37"/>
      <x:c r="H15" s="37"/>
    </x:row>
    <x:row r="16">
      <x:c r="A16" s="44" t="str">
        <x:v>FICTIONAL</x:v>
      </x:c>
      <x:c r="B16" s="37" t="str">
        <x:v>Safety labels, barcodes and reconstruction-yard controls created for Buildbooks</x:v>
      </x:c>
      <x:c r="C16" s="37"/>
      <x:c r="D16" s="37"/>
      <x:c r="E16" s="37"/>
      <x:c r="F16" s="37"/>
      <x:c r="G16" s="37"/>
      <x:c r="H16" s="37"/>
    </x:row>
    <x:row r="17">
      <x:c r="A17" s="37"/>
      <x:c r="B17" s="37"/>
      <x:c r="C17" s="37"/>
      <x:c r="D17" s="37"/>
      <x:c r="E17" s="37"/>
      <x:c r="F17" s="37"/>
      <x:c r="G17" s="37"/>
      <x:c r="H17" s="37"/>
    </x:row>
    <x:row r="18" ht="30" customHeight="1">
      <x:c r="A18" s="45" t="str">
        <x:v>Important: this is not claimed as the exact manifest carried by Queen Anne's Revenge in 1718. The wreck began its life as the French slave ship La Concorde; the source register preserves that history rather than turning it into a purely decorative pirate premise.</x:v>
      </x:c>
      <x:c r="B18" s="46" t="str"/>
      <x:c r="C18" s="46" t="str"/>
      <x:c r="D18" s="46" t="str"/>
      <x:c r="E18" s="46" t="str"/>
      <x:c r="F18" s="46" t="str"/>
      <x:c r="G18" s="46" t="str"/>
      <x:c r="H18" s="47" t="str"/>
    </x:row>
    <x:row r="19" ht="30" customHeight="1">
      <x:c r="A19" s="48" t="str">
        <x:v>Start at QAR-0001 in the Tree sheet and follow the hierarchy from complete vessel to individual part, provision or label.</x:v>
      </x:c>
      <x:c r="B19" s="49" t="str"/>
      <x:c r="C19" s="49" t="str"/>
      <x:c r="D19" s="49" t="str"/>
      <x:c r="E19" s="49" t="str"/>
      <x:c r="F19" s="49" t="str"/>
      <x:c r="G19" s="49" t="str"/>
      <x:c r="H19" s="50" t="str"/>
    </x:row>
    <x:row r="20" ht="30" customHeight="1">
      <x:c r="A20" s="48" t="str">
        <x:v>Every v0.2 SKU is exactly eight characters for compact Code 39 labels; the SKU Map preserves the v0.1-to-v0.2 translation.</x:v>
      </x:c>
      <x:c r="B20" s="49" t="str"/>
      <x:c r="C20" s="49" t="str"/>
      <x:c r="D20" s="49" t="str"/>
      <x:c r="E20" s="49" t="str"/>
      <x:c r="F20" s="49" t="str"/>
      <x:c r="G20" s="49" t="str"/>
      <x:c r="H20" s="50" t="str"/>
    </x:row>
    <x:row r="21" ht="30" customHeight="1">
      <x:c r="A21" s="51" t="str">
        <x:v>All UPC values use a restricted-distribution-style 020 prefix and are fictional internal demonstration barcodes.</x:v>
      </x:c>
      <x:c r="B21" s="52" t="str"/>
      <x:c r="C21" s="52" t="str"/>
      <x:c r="D21" s="52" t="str"/>
      <x:c r="E21" s="52" t="str"/>
      <x:c r="F21" s="52" t="str"/>
      <x:c r="G21" s="52" t="str"/>
      <x:c r="H21" s="53" t="str"/>
    </x:row>
  </x:sheetData>
  <x:mergeCells>
    <x:mergeCell ref="A1:H1"/>
    <x:mergeCell ref="A2:H2"/>
    <x:mergeCell ref="A4:H4"/>
    <x:mergeCell ref="D5:H5"/>
    <x:mergeCell ref="D6:H6"/>
    <x:mergeCell ref="D7:H7"/>
    <x:mergeCell ref="D8:H8"/>
    <x:mergeCell ref="D9:H9"/>
    <x:mergeCell ref="A11:H11"/>
    <x:mergeCell ref="A18:H18"/>
    <x:mergeCell ref="A19:H19"/>
    <x:mergeCell ref="A20:H20"/>
    <x:mergeCell ref="A21:H21"/>
  </x:mergeCells>
  <x:pageMargins left="0.7" right="0.7" top="0.75" bottom="0.75" header="0.3" footer="0.3"/>
  <x:legacyDrawing xmlns:r="http://schemas.openxmlformats.org/officeDocument/2006/relationships" r:id="R67a7201aeb4d45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9" hidden="0" customWidth="1"/>
    <x:col min="4" max="4" width="54" hidden="0" customWidth="1"/>
    <x:col min="5" max="5" width="54" hidden="0" customWidth="1"/>
  </x:cols>
  <x:sheetData>
    <x:row r="1" ht="34" customHeight="1">
      <x:c r="A1" s="3" t="str">
        <x:v>SKU CROSS-REFERENCE</x:v>
      </x:c>
      <x:c r="B1" s="3"/>
      <x:c r="C1" s="3"/>
      <x:c r="D1" s="3"/>
      <x:c r="E1"/>
    </x:row>
    <x:row r="2" ht="28" customHeight="1">
      <x:c r="A2" s="6" t="str">
        <x:v>Complete v0.1-to-v0.2 translation; shared stock is reusable across future vessel BOMs</x:v>
      </x:c>
      <x:c r="B2" s="6"/>
      <x:c r="C2" s="6"/>
      <x:c r="D2" s="6"/>
      <x:c r="E2"/>
    </x:row>
    <x:row r="3" ht="25" customHeight="1">
      <x:c r="A3" s="60" t="str">
        <x:v>OldSKU</x:v>
      </x:c>
      <x:c r="B3" s="61" t="str">
        <x:v>NewSKU</x:v>
      </x:c>
      <x:c r="C3" s="61" t="str">
        <x:v>Scope</x:v>
      </x:c>
      <x:c r="D3" s="61" t="str">
        <x:v>ItemName</x:v>
      </x:c>
      <x:c r="E3"/>
    </x:row>
    <x:row r="4">
      <x:c r="A4" s="54" t="str">
        <x:v>QAR-1718</x:v>
      </x:c>
      <x:c r="B4" s="54" t="str">
        <x:v>QAR-0001</x:v>
      </x:c>
      <x:c r="C4" s="54" t="str">
        <x:v>SHIP-SPECIFIC</x:v>
      </x:c>
      <x:c r="D4" s="54" t="str">
        <x:v>Queen Anne's Revenge, Frigate, 1718</x:v>
      </x:c>
      <x:c r="E4"/>
    </x:row>
    <x:row r="5">
      <x:c r="A5" s="54" t="str">
        <x:v>QAR-HULL</x:v>
      </x:c>
      <x:c r="B5" s="54" t="str">
        <x:v>QAR-0002</x:v>
      </x:c>
      <x:c r="C5" s="54" t="str">
        <x:v>SHIP-SPECIFIC</x:v>
      </x:c>
      <x:c r="D5" s="54" t="str">
        <x:v>Hull, Deck and Fixed Ship Fittings</x:v>
      </x:c>
      <x:c r="E5"/>
    </x:row>
    <x:row r="6">
      <x:c r="A6" s="54" t="str">
        <x:v>QAR-ARM</x:v>
      </x:c>
      <x:c r="B6" s="54" t="str">
        <x:v>QAR-0003</x:v>
      </x:c>
      <x:c r="C6" s="54" t="str">
        <x:v>SHIP-SPECIFIC</x:v>
      </x:c>
      <x:c r="D6" s="54" t="str">
        <x:v>Complete Armament Outfit</x:v>
      </x:c>
      <x:c r="E6"/>
    </x:row>
    <x:row r="7">
      <x:c r="A7" s="54" t="str">
        <x:v>QAR-RIG</x:v>
      </x:c>
      <x:c r="B7" s="54" t="str">
        <x:v>QAR-0004</x:v>
      </x:c>
      <x:c r="C7" s="54" t="str">
        <x:v>SHIP-SPECIFIC</x:v>
      </x:c>
      <x:c r="D7" s="54" t="str">
        <x:v>Masts, Rigging and Sail Outfit</x:v>
      </x:c>
      <x:c r="E7"/>
    </x:row>
    <x:row r="8">
      <x:c r="A8" s="54" t="str">
        <x:v>QAR-GROUND</x:v>
      </x:c>
      <x:c r="B8" s="54" t="str">
        <x:v>QAR-0005</x:v>
      </x:c>
      <x:c r="C8" s="54" t="str">
        <x:v>SHIP-SPECIFIC</x:v>
      </x:c>
      <x:c r="D8" s="54" t="str">
        <x:v>Ground Tackle and Mooring Outfit</x:v>
      </x:c>
      <x:c r="E8"/>
    </x:row>
    <x:row r="9">
      <x:c r="A9" s="54" t="str">
        <x:v>QAR-BOATS</x:v>
      </x:c>
      <x:c r="B9" s="54" t="str">
        <x:v>QAR-0006</x:v>
      </x:c>
      <x:c r="C9" s="54" t="str">
        <x:v>SHIP-SPECIFIC</x:v>
      </x:c>
      <x:c r="D9" s="54" t="str">
        <x:v>Ship's Boats Outfit</x:v>
      </x:c>
      <x:c r="E9"/>
    </x:row>
    <x:row r="10">
      <x:c r="A10" s="54" t="str">
        <x:v>QAR-NAV</x:v>
      </x:c>
      <x:c r="B10" s="54" t="str">
        <x:v>QAR-0007</x:v>
      </x:c>
      <x:c r="C10" s="54" t="str">
        <x:v>SHIP-SPECIFIC</x:v>
      </x:c>
      <x:c r="D10" s="54" t="str">
        <x:v>Navigation and Signaling Outfit</x:v>
      </x:c>
      <x:c r="E10"/>
    </x:row>
    <x:row r="11">
      <x:c r="A11" s="54" t="str">
        <x:v>QAR-CARP</x:v>
      </x:c>
      <x:c r="B11" s="54" t="str">
        <x:v>QAR-0008</x:v>
      </x:c>
      <x:c r="C11" s="54" t="str">
        <x:v>SHIP-SPECIFIC</x:v>
      </x:c>
      <x:c r="D11" s="54" t="str">
        <x:v>Carpenter and Hull Repair Stores</x:v>
      </x:c>
      <x:c r="E11"/>
    </x:row>
    <x:row r="12">
      <x:c r="A12" s="54" t="str">
        <x:v>QAR-SAILREP</x:v>
      </x:c>
      <x:c r="B12" s="54" t="str">
        <x:v>QAR-0009</x:v>
      </x:c>
      <x:c r="C12" s="54" t="str">
        <x:v>SHIP-SPECIFIC</x:v>
      </x:c>
      <x:c r="D12" s="54" t="str">
        <x:v>Sailmaker and Rigging Repair Stores</x:v>
      </x:c>
      <x:c r="E12"/>
    </x:row>
    <x:row r="13">
      <x:c r="A13" s="54" t="str">
        <x:v>QAR-MED</x:v>
      </x:c>
      <x:c r="B13" s="54" t="str">
        <x:v>QAR-0010</x:v>
      </x:c>
      <x:c r="C13" s="54" t="str">
        <x:v>SHIP-SPECIFIC</x:v>
      </x:c>
      <x:c r="D13" s="54" t="str">
        <x:v>Surgeon's Sea Chest and Sick Bay</x:v>
      </x:c>
      <x:c r="E13"/>
    </x:row>
    <x:row r="14">
      <x:c r="A14" s="54" t="str">
        <x:v>QAR-GALLEY</x:v>
      </x:c>
      <x:c r="B14" s="54" t="str">
        <x:v>QAR-0011</x:v>
      </x:c>
      <x:c r="C14" s="54" t="str">
        <x:v>SHIP-SPECIFIC</x:v>
      </x:c>
      <x:c r="D14" s="54" t="str">
        <x:v>Galley and Mess Outfit</x:v>
      </x:c>
      <x:c r="E14"/>
    </x:row>
    <x:row r="15">
      <x:c r="A15" s="54" t="str">
        <x:v>QAR-PROV-30D</x:v>
      </x:c>
      <x:c r="B15" s="54" t="str">
        <x:v>QAR-0012</x:v>
      </x:c>
      <x:c r="C15" s="54" t="str">
        <x:v>SHIP-SPECIFIC</x:v>
      </x:c>
      <x:c r="D15" s="54" t="str">
        <x:v>Thirty-Day Voyage Provisions for 300</x:v>
      </x:c>
      <x:c r="E15"/>
    </x:row>
    <x:row r="16">
      <x:c r="A16" s="54" t="str">
        <x:v>QAR-CREW</x:v>
      </x:c>
      <x:c r="B16" s="54" t="str">
        <x:v>QAR-0013</x:v>
      </x:c>
      <x:c r="C16" s="54" t="str">
        <x:v>SHIP-SPECIFIC</x:v>
      </x:c>
      <x:c r="D16" s="54" t="str">
        <x:v>Crew Issue and Berthing Outfit for 300</x:v>
      </x:c>
      <x:c r="E16"/>
    </x:row>
    <x:row r="17">
      <x:c r="A17" s="54" t="str">
        <x:v>QAR-CABIN</x:v>
      </x:c>
      <x:c r="B17" s="54" t="str">
        <x:v>QAR-0014</x:v>
      </x:c>
      <x:c r="C17" s="54" t="str">
        <x:v>SHIP-SPECIFIC</x:v>
      </x:c>
      <x:c r="D17" s="54" t="str">
        <x:v>Captain and Quartermaster Cabin Outfit</x:v>
      </x:c>
      <x:c r="E17"/>
    </x:row>
    <x:row r="18">
      <x:c r="A18" s="54" t="str">
        <x:v>QAR-EMERG</x:v>
      </x:c>
      <x:c r="B18" s="54" t="str">
        <x:v>QAR-0015</x:v>
      </x:c>
      <x:c r="C18" s="54" t="str">
        <x:v>SHIP-SPECIFIC</x:v>
      </x:c>
      <x:c r="D18" s="54" t="str">
        <x:v>Fire, Flood and Emergency Outfit</x:v>
      </x:c>
      <x:c r="E18"/>
    </x:row>
    <x:row r="19">
      <x:c r="A19" s="54" t="str">
        <x:v>QAR-LABEL</x:v>
      </x:c>
      <x:c r="B19" s="54" t="str">
        <x:v>QAR-0016</x:v>
      </x:c>
      <x:c r="C19" s="54" t="str">
        <x:v>SHIP-SPECIFIC</x:v>
      </x:c>
      <x:c r="D19" s="54" t="str">
        <x:v>Reconstruction Label and Inspection Stock</x:v>
      </x:c>
      <x:c r="E19"/>
    </x:row>
    <x:row r="20">
      <x:c r="A20" s="54" t="str">
        <x:v>QAR-HULL-STRUCT</x:v>
      </x:c>
      <x:c r="B20" s="54" t="str">
        <x:v>QAR-0017</x:v>
      </x:c>
      <x:c r="C20" s="54" t="str">
        <x:v>SHIP-SPECIFIC</x:v>
      </x:c>
      <x:c r="D20" s="54" t="str">
        <x:v>Hull Structure Assembly</x:v>
      </x:c>
      <x:c r="E20"/>
    </x:row>
    <x:row r="21">
      <x:c r="A21" s="54" t="str">
        <x:v>QAR-DECK-FIX</x:v>
      </x:c>
      <x:c r="B21" s="54" t="str">
        <x:v>OFT-0001</x:v>
      </x:c>
      <x:c r="C21" s="54" t="str">
        <x:v>SHARED</x:v>
      </x:c>
      <x:c r="D21" s="54" t="str">
        <x:v>Deck Machinery and Fittings Outfit</x:v>
      </x:c>
      <x:c r="E21"/>
    </x:row>
    <x:row r="22">
      <x:c r="A22" s="54" t="str">
        <x:v>QAR-STEER</x:v>
      </x:c>
      <x:c r="B22" s="54" t="str">
        <x:v>QAR-0018</x:v>
      </x:c>
      <x:c r="C22" s="54" t="str">
        <x:v>SHIP-SPECIFIC</x:v>
      </x:c>
      <x:c r="D22" s="54" t="str">
        <x:v>Rudder and Steering Assembly</x:v>
      </x:c>
      <x:c r="E22"/>
    </x:row>
    <x:row r="23">
      <x:c r="A23" s="54" t="str">
        <x:v>QAR-BILGE</x:v>
      </x:c>
      <x:c r="B23" s="54" t="str">
        <x:v>OFT-0002</x:v>
      </x:c>
      <x:c r="C23" s="54" t="str">
        <x:v>SHARED</x:v>
      </x:c>
      <x:c r="D23" s="54" t="str">
        <x:v>Bilge, Pump and Drainage Outfit</x:v>
      </x:c>
      <x:c r="E23"/>
    </x:row>
    <x:row r="24">
      <x:c r="A24" s="54" t="str">
        <x:v>QAR-BALLAST</x:v>
      </x:c>
      <x:c r="B24" s="54" t="str">
        <x:v>OFT-0003</x:v>
      </x:c>
      <x:c r="C24" s="54" t="str">
        <x:v>SHARED</x:v>
      </x:c>
      <x:c r="D24" s="54" t="str">
        <x:v>Ballast Distribution Outfit</x:v>
      </x:c>
      <x:c r="E24"/>
    </x:row>
    <x:row r="25">
      <x:c r="A25" s="54" t="str">
        <x:v>QAR-KEEL</x:v>
      </x:c>
      <x:c r="B25" s="54" t="str">
        <x:v>QAR-0019</x:v>
      </x:c>
      <x:c r="C25" s="54" t="str">
        <x:v>SHIP-SPECIFIC</x:v>
      </x:c>
      <x:c r="D25" s="54" t="str">
        <x:v>Keel and Keelson Assembly</x:v>
      </x:c>
      <x:c r="E25"/>
    </x:row>
    <x:row r="26">
      <x:c r="A26" s="54" t="str">
        <x:v>QAR-FRAME-SET</x:v>
      </x:c>
      <x:c r="B26" s="54" t="str">
        <x:v>QAR-0020</x:v>
      </x:c>
      <x:c r="C26" s="54" t="str">
        <x:v>SHIP-SPECIFIC</x:v>
      </x:c>
      <x:c r="D26" s="54" t="str">
        <x:v>Paired Frame Component Set</x:v>
      </x:c>
      <x:c r="E26"/>
    </x:row>
    <x:row r="27">
      <x:c r="A27" s="54" t="str">
        <x:v>QAR-PLANK-OUTER</x:v>
      </x:c>
      <x:c r="B27" s="54" t="str">
        <x:v>QAR-0021</x:v>
      </x:c>
      <x:c r="C27" s="54" t="str">
        <x:v>SHIP-SPECIFIC</x:v>
      </x:c>
      <x:c r="D27" s="54" t="str">
        <x:v>Outer Hull Planking Set</x:v>
      </x:c>
      <x:c r="E27"/>
    </x:row>
    <x:row r="28">
      <x:c r="A28" s="54" t="str">
        <x:v>QAR-PLANK-SAC</x:v>
      </x:c>
      <x:c r="B28" s="54" t="str">
        <x:v>QAR-0022</x:v>
      </x:c>
      <x:c r="C28" s="54" t="str">
        <x:v>SHIP-SPECIFIC</x:v>
      </x:c>
      <x:c r="D28" s="54" t="str">
        <x:v>Sacrificial Hull Sheathing Set</x:v>
      </x:c>
      <x:c r="E28"/>
    </x:row>
    <x:row r="29">
      <x:c r="A29" s="54" t="str">
        <x:v>QAR-FASTENER-HULL</x:v>
      </x:c>
      <x:c r="B29" s="54" t="str">
        <x:v>KIT-0001</x:v>
      </x:c>
      <x:c r="C29" s="54" t="str">
        <x:v>SHARED</x:v>
      </x:c>
      <x:c r="D29" s="54" t="str">
        <x:v>Hull Fastener Lot</x:v>
      </x:c>
      <x:c r="E29"/>
    </x:row>
    <x:row r="30">
      <x:c r="A30" s="54" t="str">
        <x:v>QAR-TREENAIL</x:v>
      </x:c>
      <x:c r="B30" s="54" t="str">
        <x:v>PRT-0001</x:v>
      </x:c>
      <x:c r="C30" s="54" t="str">
        <x:v>SHARED</x:v>
      </x:c>
      <x:c r="D30" s="54" t="str">
        <x:v>Oak Treenail</x:v>
      </x:c>
      <x:c r="E30"/>
    </x:row>
    <x:row r="31">
      <x:c r="A31" s="54" t="str">
        <x:v>QAR-SPIKE-IRON-L</x:v>
      </x:c>
      <x:c r="B31" s="54" t="str">
        <x:v>PRT-0002</x:v>
      </x:c>
      <x:c r="C31" s="54" t="str">
        <x:v>SHARED</x:v>
      </x:c>
      <x:c r="D31" s="54" t="str">
        <x:v>Large Wrought-Iron Hull Spike</x:v>
      </x:c>
      <x:c r="E31"/>
    </x:row>
    <x:row r="32">
      <x:c r="A32" s="54" t="str">
        <x:v>QAR-DRIFT-PIN</x:v>
      </x:c>
      <x:c r="B32" s="54" t="str">
        <x:v>PRT-0003</x:v>
      </x:c>
      <x:c r="C32" s="54" t="str">
        <x:v>SHARED</x:v>
      </x:c>
      <x:c r="D32" s="54" t="str">
        <x:v>Iron Drift Pin</x:v>
      </x:c>
      <x:c r="E32"/>
    </x:row>
    <x:row r="33">
      <x:c r="A33" s="54" t="str">
        <x:v>QAR-LEAD-STRIP</x:v>
      </x:c>
      <x:c r="B33" s="54" t="str">
        <x:v>PRT-0004</x:v>
      </x:c>
      <x:c r="C33" s="54" t="str">
        <x:v>SHARED</x:v>
      </x:c>
      <x:c r="D33" s="54" t="str">
        <x:v>Hull Sealing Lead Strip</x:v>
      </x:c>
      <x:c r="E33"/>
    </x:row>
    <x:row r="34">
      <x:c r="A34" s="54" t="str">
        <x:v>QAR-CAPSTAN</x:v>
      </x:c>
      <x:c r="B34" s="54" t="str">
        <x:v>ASM-0001</x:v>
      </x:c>
      <x:c r="C34" s="54" t="str">
        <x:v>SHARED</x:v>
      </x:c>
      <x:c r="D34" s="54" t="str">
        <x:v>Main Capstan Assembly</x:v>
      </x:c>
      <x:c r="E34"/>
    </x:row>
    <x:row r="35">
      <x:c r="A35" s="54" t="str">
        <x:v>QAR-WINDLASS</x:v>
      </x:c>
      <x:c r="B35" s="54" t="str">
        <x:v>ASM-0002</x:v>
      </x:c>
      <x:c r="C35" s="54" t="str">
        <x:v>SHARED</x:v>
      </x:c>
      <x:c r="D35" s="54" t="str">
        <x:v>Foredeck Windlass Assembly</x:v>
      </x:c>
      <x:c r="E35"/>
    </x:row>
    <x:row r="36">
      <x:c r="A36" s="54" t="str">
        <x:v>QAR-HATCH-GRATE</x:v>
      </x:c>
      <x:c r="B36" s="54" t="str">
        <x:v>ASM-0003</x:v>
      </x:c>
      <x:c r="C36" s="54" t="str">
        <x:v>SHARED</x:v>
      </x:c>
      <x:c r="D36" s="54" t="str">
        <x:v>Removable Hatch Grating</x:v>
      </x:c>
      <x:c r="E36"/>
    </x:row>
    <x:row r="37">
      <x:c r="A37" s="54" t="str">
        <x:v>QAR-DECK-LADDER</x:v>
      </x:c>
      <x:c r="B37" s="54" t="str">
        <x:v>ASM-0004</x:v>
      </x:c>
      <x:c r="C37" s="54" t="str">
        <x:v>SHARED</x:v>
      </x:c>
      <x:c r="D37" s="54" t="str">
        <x:v>Deck Ladder Assembly</x:v>
      </x:c>
      <x:c r="E37"/>
    </x:row>
    <x:row r="38">
      <x:c r="A38" s="54" t="str">
        <x:v>QAR-RAIL-FIT</x:v>
      </x:c>
      <x:c r="B38" s="54" t="str">
        <x:v>KIT-0002</x:v>
      </x:c>
      <x:c r="C38" s="54" t="str">
        <x:v>SHARED</x:v>
      </x:c>
      <x:c r="D38" s="54" t="str">
        <x:v>Rail Hook and Ring Fitting Set</x:v>
      </x:c>
      <x:c r="E38"/>
    </x:row>
    <x:row r="39">
      <x:c r="A39" s="54" t="str">
        <x:v>QAR-BELL</x:v>
      </x:c>
      <x:c r="B39" s="54" t="str">
        <x:v>PRT-0005</x:v>
      </x:c>
      <x:c r="C39" s="54" t="str">
        <x:v>SHARED</x:v>
      </x:c>
      <x:c r="D39" s="54" t="str">
        <x:v>Ship's Bell</x:v>
      </x:c>
      <x:c r="E39"/>
    </x:row>
    <x:row r="40">
      <x:c r="A40" s="54" t="str">
        <x:v>QAR-SEAT-EASE</x:v>
      </x:c>
      <x:c r="B40" s="54" t="str">
        <x:v>ASM-0005</x:v>
      </x:c>
      <x:c r="C40" s="54" t="str">
        <x:v>SHARED</x:v>
      </x:c>
      <x:c r="D40" s="54" t="str">
        <x:v>Seat of Ease</x:v>
      </x:c>
      <x:c r="E40"/>
    </x:row>
    <x:row r="41">
      <x:c r="A41" s="54" t="str">
        <x:v>QAR-HOOK-WROUGHT</x:v>
      </x:c>
      <x:c r="B41" s="54" t="str">
        <x:v>PRT-0006</x:v>
      </x:c>
      <x:c r="C41" s="54" t="str">
        <x:v>SHARED</x:v>
      </x:c>
      <x:c r="D41" s="54" t="str">
        <x:v>Wrought-Iron Utility Hook</x:v>
      </x:c>
      <x:c r="E41"/>
    </x:row>
    <x:row r="42">
      <x:c r="A42" s="54" t="str">
        <x:v>QAR-RING-BOLT</x:v>
      </x:c>
      <x:c r="B42" s="54" t="str">
        <x:v>PRT-0007</x:v>
      </x:c>
      <x:c r="C42" s="54" t="str">
        <x:v>SHARED</x:v>
      </x:c>
      <x:c r="D42" s="54" t="str">
        <x:v>Wrought-Iron Ring Bolt</x:v>
      </x:c>
      <x:c r="E42"/>
    </x:row>
    <x:row r="43">
      <x:c r="A43" s="54" t="str">
        <x:v>QAR-CAPSTAN-BAR</x:v>
      </x:c>
      <x:c r="B43" s="54" t="str">
        <x:v>PRT-0008</x:v>
      </x:c>
      <x:c r="C43" s="54" t="str">
        <x:v>SHARED</x:v>
      </x:c>
      <x:c r="D43" s="54" t="str">
        <x:v>Capstan Bar</x:v>
      </x:c>
      <x:c r="E43"/>
    </x:row>
    <x:row r="44">
      <x:c r="A44" s="54" t="str">
        <x:v>QAR-WINDLASS-BAR</x:v>
      </x:c>
      <x:c r="B44" s="54" t="str">
        <x:v>PRT-0009</x:v>
      </x:c>
      <x:c r="C44" s="54" t="str">
        <x:v>SHARED</x:v>
      </x:c>
      <x:c r="D44" s="54" t="str">
        <x:v>Windlass Handspike</x:v>
      </x:c>
      <x:c r="E44"/>
    </x:row>
    <x:row r="45">
      <x:c r="A45" s="54" t="str">
        <x:v>QAR-RUDDER</x:v>
      </x:c>
      <x:c r="B45" s="54" t="str">
        <x:v>QAR-0023</x:v>
      </x:c>
      <x:c r="C45" s="54" t="str">
        <x:v>SHIP-SPECIFIC</x:v>
      </x:c>
      <x:c r="D45" s="54" t="str">
        <x:v>Rudder Blade and Stock</x:v>
      </x:c>
      <x:c r="E45"/>
    </x:row>
    <x:row r="46">
      <x:c r="A46" s="54" t="str">
        <x:v>QAR-TILLER</x:v>
      </x:c>
      <x:c r="B46" s="54" t="str">
        <x:v>QAR-0024</x:v>
      </x:c>
      <x:c r="C46" s="54" t="str">
        <x:v>SHIP-SPECIFIC</x:v>
      </x:c>
      <x:c r="D46" s="54" t="str">
        <x:v>Tiller Assembly</x:v>
      </x:c>
      <x:c r="E46"/>
    </x:row>
    <x:row r="47">
      <x:c r="A47" s="54" t="str">
        <x:v>QAR-PINTLE</x:v>
      </x:c>
      <x:c r="B47" s="54" t="str">
        <x:v>PRT-0010</x:v>
      </x:c>
      <x:c r="C47" s="54" t="str">
        <x:v>SHARED</x:v>
      </x:c>
      <x:c r="D47" s="54" t="str">
        <x:v>Iron Rudder Pintle</x:v>
      </x:c>
      <x:c r="E47"/>
    </x:row>
    <x:row r="48">
      <x:c r="A48" s="54" t="str">
        <x:v>QAR-GUDGEON</x:v>
      </x:c>
      <x:c r="B48" s="54" t="str">
        <x:v>PRT-0011</x:v>
      </x:c>
      <x:c r="C48" s="54" t="str">
        <x:v>SHARED</x:v>
      </x:c>
      <x:c r="D48" s="54" t="str">
        <x:v>Iron Rudder Gudgeon</x:v>
      </x:c>
      <x:c r="E48"/>
    </x:row>
    <x:row r="49">
      <x:c r="A49" s="54" t="str">
        <x:v>QAR-TILLER-ROPE</x:v>
      </x:c>
      <x:c r="B49" s="54" t="str">
        <x:v>PRT-0012</x:v>
      </x:c>
      <x:c r="C49" s="54" t="str">
        <x:v>SHARED</x:v>
      </x:c>
      <x:c r="D49" s="54" t="str">
        <x:v>Tiller Relieving Rope, 30 ft</x:v>
      </x:c>
      <x:c r="E49"/>
    </x:row>
    <x:row r="50">
      <x:c r="A50" s="54" t="str">
        <x:v>QAR-BILGE-PUMP</x:v>
      </x:c>
      <x:c r="B50" s="54" t="str">
        <x:v>ASM-0006</x:v>
      </x:c>
      <x:c r="C50" s="54" t="str">
        <x:v>SHARED</x:v>
      </x:c>
      <x:c r="D50" s="54" t="str">
        <x:v>Hand Bilge Pump Assembly</x:v>
      </x:c>
      <x:c r="E50"/>
    </x:row>
    <x:row r="51">
      <x:c r="A51" s="54" t="str">
        <x:v>QAR-BILGE-STRAIN</x:v>
      </x:c>
      <x:c r="B51" s="54" t="str">
        <x:v>PRT-0013</x:v>
      </x:c>
      <x:c r="C51" s="54" t="str">
        <x:v>SHARED</x:v>
      </x:c>
      <x:c r="D51" s="54" t="str">
        <x:v>Bilge Strainer</x:v>
      </x:c>
      <x:c r="E51"/>
    </x:row>
    <x:row r="52">
      <x:c r="A52" s="54" t="str">
        <x:v>QAR-PUMP-BRAKE</x:v>
      </x:c>
      <x:c r="B52" s="54" t="str">
        <x:v>PRT-0014</x:v>
      </x:c>
      <x:c r="C52" s="54" t="str">
        <x:v>SHARED</x:v>
      </x:c>
      <x:c r="D52" s="54" t="str">
        <x:v>Pump Brake Handle</x:v>
      </x:c>
      <x:c r="E52"/>
    </x:row>
    <x:row r="53">
      <x:c r="A53" s="54" t="str">
        <x:v>QAR-PUMP-LEATHER</x:v>
      </x:c>
      <x:c r="B53" s="54" t="str">
        <x:v>KIT-0003</x:v>
      </x:c>
      <x:c r="C53" s="54" t="str">
        <x:v>SHARED</x:v>
      </x:c>
      <x:c r="D53" s="54" t="str">
        <x:v>Pump Leather Service Set</x:v>
      </x:c>
      <x:c r="E53"/>
    </x:row>
    <x:row r="54">
      <x:c r="A54" s="54" t="str">
        <x:v>QAR-BUCKET-BILGE</x:v>
      </x:c>
      <x:c r="B54" s="54" t="str">
        <x:v>ASM-0007</x:v>
      </x:c>
      <x:c r="C54" s="54" t="str">
        <x:v>SHARED</x:v>
      </x:c>
      <x:c r="D54" s="54" t="str">
        <x:v>Bilge Bucket with Rope</x:v>
      </x:c>
      <x:c r="E54"/>
    </x:row>
    <x:row r="55">
      <x:c r="A55" s="54" t="str">
        <x:v>QAR-BALLAST-STONE</x:v>
      </x:c>
      <x:c r="B55" s="54" t="str">
        <x:v>MAT-0001</x:v>
      </x:c>
      <x:c r="C55" s="54" t="str">
        <x:v>SHARED</x:v>
      </x:c>
      <x:c r="D55" s="54" t="str">
        <x:v>Sorted Stone Ballast, 100 lb Lot</x:v>
      </x:c>
      <x:c r="E55"/>
    </x:row>
    <x:row r="56">
      <x:c r="A56" s="54" t="str">
        <x:v>QAR-BALLAST-IRON</x:v>
      </x:c>
      <x:c r="B56" s="54" t="str">
        <x:v>PRT-0015</x:v>
      </x:c>
      <x:c r="C56" s="54" t="str">
        <x:v>SHARED</x:v>
      </x:c>
      <x:c r="D56" s="54" t="str">
        <x:v>Iron Ballast Pig, 50 lb</x:v>
      </x:c>
      <x:c r="E56"/>
    </x:row>
    <x:row r="57">
      <x:c r="A57" s="54" t="str">
        <x:v>QAR-BALLAST-MAT</x:v>
      </x:c>
      <x:c r="B57" s="54" t="str">
        <x:v>PRT-0016</x:v>
      </x:c>
      <x:c r="C57" s="54" t="str">
        <x:v>SHARED</x:v>
      </x:c>
      <x:c r="D57" s="54" t="str">
        <x:v>Ballast Bedding Mat</x:v>
      </x:c>
      <x:c r="E57"/>
    </x:row>
    <x:row r="58">
      <x:c r="A58" s="54" t="str">
        <x:v>QAR-BAT-6LB</x:v>
      </x:c>
      <x:c r="B58" s="54" t="str">
        <x:v>OFT-0004</x:v>
      </x:c>
      <x:c r="C58" s="54" t="str">
        <x:v>SHARED</x:v>
      </x:c>
      <x:c r="D58" s="54" t="str">
        <x:v>Six-Pounder Main Battery</x:v>
      </x:c>
      <x:c r="E58"/>
    </x:row>
    <x:row r="59">
      <x:c r="A59" s="54" t="str">
        <x:v>QAR-BAT-4LB</x:v>
      </x:c>
      <x:c r="B59" s="54" t="str">
        <x:v>OFT-0005</x:v>
      </x:c>
      <x:c r="C59" s="54" t="str">
        <x:v>SHARED</x:v>
      </x:c>
      <x:c r="D59" s="54" t="str">
        <x:v>Four-Pounder Upper Battery</x:v>
      </x:c>
      <x:c r="E59"/>
    </x:row>
    <x:row r="60">
      <x:c r="A60" s="54" t="str">
        <x:v>QAR-BAT-SWIV</x:v>
      </x:c>
      <x:c r="B60" s="54" t="str">
        <x:v>OFT-0006</x:v>
      </x:c>
      <x:c r="C60" s="54" t="str">
        <x:v>SHARED</x:v>
      </x:c>
      <x:c r="D60" s="54" t="str">
        <x:v>Swivel-Gun Rail Battery</x:v>
      </x:c>
      <x:c r="E60"/>
    </x:row>
    <x:row r="61">
      <x:c r="A61" s="54" t="str">
        <x:v>QAR-MAG</x:v>
      </x:c>
      <x:c r="B61" s="54" t="str">
        <x:v>OFT-0007</x:v>
      </x:c>
      <x:c r="C61" s="54" t="str">
        <x:v>SHARED</x:v>
      </x:c>
      <x:c r="D61" s="54" t="str">
        <x:v>Powder Magazine Outfit</x:v>
      </x:c>
      <x:c r="E61"/>
    </x:row>
    <x:row r="62">
      <x:c r="A62" s="54" t="str">
        <x:v>QAR-SMALL</x:v>
      </x:c>
      <x:c r="B62" s="54" t="str">
        <x:v>OFT-0008</x:v>
      </x:c>
      <x:c r="C62" s="54" t="str">
        <x:v>SHARED</x:v>
      </x:c>
      <x:c r="D62" s="54" t="str">
        <x:v>Small Arms and Boarding Outfit</x:v>
      </x:c>
      <x:c r="E62"/>
    </x:row>
    <x:row r="63">
      <x:c r="A63" s="54" t="str">
        <x:v>QAR-ORD-SPARE</x:v>
      </x:c>
      <x:c r="B63" s="54" t="str">
        <x:v>KIT-0004</x:v>
      </x:c>
      <x:c r="C63" s="54" t="str">
        <x:v>SHARED</x:v>
      </x:c>
      <x:c r="D63" s="54" t="str">
        <x:v>Ordnance Spare Parts Chest</x:v>
      </x:c>
      <x:c r="E63"/>
    </x:row>
    <x:row r="64">
      <x:c r="A64" s="54" t="str">
        <x:v>QAR-STN-6LB</x:v>
      </x:c>
      <x:c r="B64" s="54" t="str">
        <x:v>KIT-0005</x:v>
      </x:c>
      <x:c r="C64" s="54" t="str">
        <x:v>SHARED</x:v>
      </x:c>
      <x:c r="D64" s="54" t="str">
        <x:v>Complete Six-Pounder Cannon Station</x:v>
      </x:c>
      <x:c r="E64"/>
    </x:row>
    <x:row r="65">
      <x:c r="A65" s="54" t="str">
        <x:v>QAR-STN-4LB</x:v>
      </x:c>
      <x:c r="B65" s="54" t="str">
        <x:v>KIT-0006</x:v>
      </x:c>
      <x:c r="C65" s="54" t="str">
        <x:v>SHARED</x:v>
      </x:c>
      <x:c r="D65" s="54" t="str">
        <x:v>Complete Four-Pounder Cannon Station</x:v>
      </x:c>
      <x:c r="E65"/>
    </x:row>
    <x:row r="66">
      <x:c r="A66" s="54" t="str">
        <x:v>QAR-STN-SWIV</x:v>
      </x:c>
      <x:c r="B66" s="54" t="str">
        <x:v>KIT-0007</x:v>
      </x:c>
      <x:c r="C66" s="54" t="str">
        <x:v>SHARED</x:v>
      </x:c>
      <x:c r="D66" s="54" t="str">
        <x:v>Complete Half-Pounder Swivel-Gun Station</x:v>
      </x:c>
      <x:c r="E66"/>
    </x:row>
    <x:row r="67">
      <x:c r="A67" s="54" t="str">
        <x:v>QAR-GUN-6LB</x:v>
      </x:c>
      <x:c r="B67" s="54" t="str">
        <x:v>PRT-0017</x:v>
      </x:c>
      <x:c r="C67" s="54" t="str">
        <x:v>SHARED</x:v>
      </x:c>
      <x:c r="D67" s="54" t="str">
        <x:v>Iron Six-Pounder Cannon Barrel</x:v>
      </x:c>
      <x:c r="E67"/>
    </x:row>
    <x:row r="68">
      <x:c r="A68" s="54" t="str">
        <x:v>QAR-GUN-4LB</x:v>
      </x:c>
      <x:c r="B68" s="54" t="str">
        <x:v>PRT-0018</x:v>
      </x:c>
      <x:c r="C68" s="54" t="str">
        <x:v>SHARED</x:v>
      </x:c>
      <x:c r="D68" s="54" t="str">
        <x:v>Iron Four-Pounder Cannon Barrel</x:v>
      </x:c>
      <x:c r="E68"/>
    </x:row>
    <x:row r="69">
      <x:c r="A69" s="54" t="str">
        <x:v>QAR-GUN-SWIV</x:v>
      </x:c>
      <x:c r="B69" s="54" t="str">
        <x:v>PRT-0019</x:v>
      </x:c>
      <x:c r="C69" s="54" t="str">
        <x:v>SHARED</x:v>
      </x:c>
      <x:c r="D69" s="54" t="str">
        <x:v>Iron Half-Pounder Swivel Gun</x:v>
      </x:c>
      <x:c r="E69"/>
    </x:row>
    <x:row r="70">
      <x:c r="A70" s="54" t="str">
        <x:v>QAR-CARR-6LB</x:v>
      </x:c>
      <x:c r="B70" s="54" t="str">
        <x:v>ASM-0008</x:v>
      </x:c>
      <x:c r="C70" s="54" t="str">
        <x:v>SHARED</x:v>
      </x:c>
      <x:c r="D70" s="54" t="str">
        <x:v>Six-Pounder Gun Carriage</x:v>
      </x:c>
      <x:c r="E70"/>
    </x:row>
    <x:row r="71">
      <x:c r="A71" s="54" t="str">
        <x:v>QAR-CARR-4LB</x:v>
      </x:c>
      <x:c r="B71" s="54" t="str">
        <x:v>ASM-0009</x:v>
      </x:c>
      <x:c r="C71" s="54" t="str">
        <x:v>SHARED</x:v>
      </x:c>
      <x:c r="D71" s="54" t="str">
        <x:v>Four-Pounder Gun Carriage</x:v>
      </x:c>
      <x:c r="E71"/>
    </x:row>
    <x:row r="72">
      <x:c r="A72" s="54" t="str">
        <x:v>QAR-MOUNT-SWIV</x:v>
      </x:c>
      <x:c r="B72" s="54" t="str">
        <x:v>ASM-0010</x:v>
      </x:c>
      <x:c r="C72" s="54" t="str">
        <x:v>SHARED</x:v>
      </x:c>
      <x:c r="D72" s="54" t="str">
        <x:v>Swivel-Gun Yoke and Pintle Mount</x:v>
      </x:c>
      <x:c r="E72"/>
    </x:row>
    <x:row r="73">
      <x:c r="A73" s="54" t="str">
        <x:v>QAR-GUN-TOOLS</x:v>
      </x:c>
      <x:c r="B73" s="54" t="str">
        <x:v>KIT-0008</x:v>
      </x:c>
      <x:c r="C73" s="54" t="str">
        <x:v>SHARED</x:v>
      </x:c>
      <x:c r="D73" s="54" t="str">
        <x:v>Cannon Service Tool Kit</x:v>
      </x:c>
      <x:c r="E73"/>
    </x:row>
    <x:row r="74">
      <x:c r="A74" s="54" t="str">
        <x:v>QAR-SWIV-TOOLS</x:v>
      </x:c>
      <x:c r="B74" s="54" t="str">
        <x:v>KIT-0009</x:v>
      </x:c>
      <x:c r="C74" s="54" t="str">
        <x:v>SHARED</x:v>
      </x:c>
      <x:c r="D74" s="54" t="str">
        <x:v>Swivel-Gun Service Tool Kit</x:v>
      </x:c>
      <x:c r="E74"/>
    </x:row>
    <x:row r="75">
      <x:c r="A75" s="54" t="str">
        <x:v>QAR-BREECH-6</x:v>
      </x:c>
      <x:c r="B75" s="54" t="str">
        <x:v>KIT-0010</x:v>
      </x:c>
      <x:c r="C75" s="54" t="str">
        <x:v>SHARED</x:v>
      </x:c>
      <x:c r="D75" s="54" t="str">
        <x:v>Six-Pounder Breeching and Side-Tackle Set</x:v>
      </x:c>
      <x:c r="E75"/>
    </x:row>
    <x:row r="76">
      <x:c r="A76" s="54" t="str">
        <x:v>QAR-BREECH-4</x:v>
      </x:c>
      <x:c r="B76" s="54" t="str">
        <x:v>KIT-0011</x:v>
      </x:c>
      <x:c r="C76" s="54" t="str">
        <x:v>SHARED</x:v>
      </x:c>
      <x:c r="D76" s="54" t="str">
        <x:v>Four-Pounder Breeching and Side-Tackle Set</x:v>
      </x:c>
      <x:c r="E76"/>
    </x:row>
    <x:row r="77">
      <x:c r="A77" s="54" t="str">
        <x:v>QAR-SHOT-ALLOW-6</x:v>
      </x:c>
      <x:c r="B77" s="54" t="str">
        <x:v>KIT-0012</x:v>
      </x:c>
      <x:c r="C77" s="54" t="str">
        <x:v>SHARED</x:v>
      </x:c>
      <x:c r="D77" s="54" t="str">
        <x:v>Six-Pounder Ready-Shot Allowance</x:v>
      </x:c>
      <x:c r="E77"/>
    </x:row>
    <x:row r="78">
      <x:c r="A78" s="54" t="str">
        <x:v>QAR-SHOT-ALLOW-4</x:v>
      </x:c>
      <x:c r="B78" s="54" t="str">
        <x:v>KIT-0013</x:v>
      </x:c>
      <x:c r="C78" s="54" t="str">
        <x:v>SHARED</x:v>
      </x:c>
      <x:c r="D78" s="54" t="str">
        <x:v>Four-Pounder Ready-Shot Allowance</x:v>
      </x:c>
      <x:c r="E78"/>
    </x:row>
    <x:row r="79">
      <x:c r="A79" s="54" t="str">
        <x:v>QAR-SHOT-ALLOW-S</x:v>
      </x:c>
      <x:c r="B79" s="54" t="str">
        <x:v>KIT-0014</x:v>
      </x:c>
      <x:c r="C79" s="54" t="str">
        <x:v>SHARED</x:v>
      </x:c>
      <x:c r="D79" s="54" t="str">
        <x:v>Swivel-Gun Ready-Shot Allowance</x:v>
      </x:c>
      <x:c r="E79"/>
    </x:row>
    <x:row r="80">
      <x:c r="A80" s="54" t="str">
        <x:v>QAR-LBL-GUN6</x:v>
      </x:c>
      <x:c r="B80" s="54" t="str">
        <x:v>LBL-0001</x:v>
      </x:c>
      <x:c r="C80" s="54" t="str">
        <x:v>SHARED</x:v>
      </x:c>
      <x:c r="D80" s="54" t="str">
        <x:v>Safety Label - Six-Pounder Station</x:v>
      </x:c>
      <x:c r="E80"/>
    </x:row>
    <x:row r="81">
      <x:c r="A81" s="54" t="str">
        <x:v>QAR-LBL-GUN4</x:v>
      </x:c>
      <x:c r="B81" s="54" t="str">
        <x:v>LBL-0002</x:v>
      </x:c>
      <x:c r="C81" s="54" t="str">
        <x:v>SHARED</x:v>
      </x:c>
      <x:c r="D81" s="54" t="str">
        <x:v>Safety Label - Four-Pounder Station</x:v>
      </x:c>
      <x:c r="E81"/>
    </x:row>
    <x:row r="82">
      <x:c r="A82" s="54" t="str">
        <x:v>QAR-LBL-SWIV</x:v>
      </x:c>
      <x:c r="B82" s="54" t="str">
        <x:v>LBL-0003</x:v>
      </x:c>
      <x:c r="C82" s="54" t="str">
        <x:v>SHARED</x:v>
      </x:c>
      <x:c r="D82" s="54" t="str">
        <x:v>Safety Label - Swivel-Gun Station</x:v>
      </x:c>
      <x:c r="E82"/>
    </x:row>
    <x:row r="83">
      <x:c r="A83" s="54" t="str">
        <x:v>QAR-CARR-CHEEK6</x:v>
      </x:c>
      <x:c r="B83" s="54" t="str">
        <x:v>PRT-0020</x:v>
      </x:c>
      <x:c r="C83" s="54" t="str">
        <x:v>SHARED</x:v>
      </x:c>
      <x:c r="D83" s="54" t="str">
        <x:v>Six-Pounder Carriage Cheek</x:v>
      </x:c>
      <x:c r="E83"/>
    </x:row>
    <x:row r="84">
      <x:c r="A84" s="54" t="str">
        <x:v>QAR-CARR-CHEEK4</x:v>
      </x:c>
      <x:c r="B84" s="54" t="str">
        <x:v>PRT-0021</x:v>
      </x:c>
      <x:c r="C84" s="54" t="str">
        <x:v>SHARED</x:v>
      </x:c>
      <x:c r="D84" s="54" t="str">
        <x:v>Four-Pounder Carriage Cheek</x:v>
      </x:c>
      <x:c r="E84"/>
    </x:row>
    <x:row r="85">
      <x:c r="A85" s="54" t="str">
        <x:v>QAR-CARR-BED6</x:v>
      </x:c>
      <x:c r="B85" s="54" t="str">
        <x:v>PRT-0022</x:v>
      </x:c>
      <x:c r="C85" s="54" t="str">
        <x:v>SHARED</x:v>
      </x:c>
      <x:c r="D85" s="54" t="str">
        <x:v>Six-Pounder Carriage Bed</x:v>
      </x:c>
      <x:c r="E85"/>
    </x:row>
    <x:row r="86">
      <x:c r="A86" s="54" t="str">
        <x:v>QAR-CARR-BED4</x:v>
      </x:c>
      <x:c r="B86" s="54" t="str">
        <x:v>PRT-0023</x:v>
      </x:c>
      <x:c r="C86" s="54" t="str">
        <x:v>SHARED</x:v>
      </x:c>
      <x:c r="D86" s="54" t="str">
        <x:v>Four-Pounder Carriage Bed</x:v>
      </x:c>
      <x:c r="E86"/>
    </x:row>
    <x:row r="87">
      <x:c r="A87" s="54" t="str">
        <x:v>QAR-CARR-AXLE6</x:v>
      </x:c>
      <x:c r="B87" s="54" t="str">
        <x:v>PRT-0024</x:v>
      </x:c>
      <x:c r="C87" s="54" t="str">
        <x:v>SHARED</x:v>
      </x:c>
      <x:c r="D87" s="54" t="str">
        <x:v>Six-Pounder Carriage Axle</x:v>
      </x:c>
      <x:c r="E87"/>
    </x:row>
    <x:row r="88">
      <x:c r="A88" s="54" t="str">
        <x:v>QAR-CARR-AXLE4</x:v>
      </x:c>
      <x:c r="B88" s="54" t="str">
        <x:v>PRT-0025</x:v>
      </x:c>
      <x:c r="C88" s="54" t="str">
        <x:v>SHARED</x:v>
      </x:c>
      <x:c r="D88" s="54" t="str">
        <x:v>Four-Pounder Carriage Axle</x:v>
      </x:c>
      <x:c r="E88"/>
    </x:row>
    <x:row r="89">
      <x:c r="A89" s="54" t="str">
        <x:v>QAR-CARR-TRUCK6</x:v>
      </x:c>
      <x:c r="B89" s="54" t="str">
        <x:v>PRT-0026</x:v>
      </x:c>
      <x:c r="C89" s="54" t="str">
        <x:v>SHARED</x:v>
      </x:c>
      <x:c r="D89" s="54" t="str">
        <x:v>Six-Pounder Carriage Truck Wheel</x:v>
      </x:c>
      <x:c r="E89"/>
    </x:row>
    <x:row r="90">
      <x:c r="A90" s="54" t="str">
        <x:v>QAR-CARR-TRUCK4</x:v>
      </x:c>
      <x:c r="B90" s="54" t="str">
        <x:v>PRT-0027</x:v>
      </x:c>
      <x:c r="C90" s="54" t="str">
        <x:v>SHARED</x:v>
      </x:c>
      <x:c r="D90" s="54" t="str">
        <x:v>Four-Pounder Carriage Truck Wheel</x:v>
      </x:c>
      <x:c r="E90"/>
    </x:row>
    <x:row r="91">
      <x:c r="A91" s="54" t="str">
        <x:v>QAR-CARR-TRANS</x:v>
      </x:c>
      <x:c r="B91" s="54" t="str">
        <x:v>PRT-0028</x:v>
      </x:c>
      <x:c r="C91" s="54" t="str">
        <x:v>SHARED</x:v>
      </x:c>
      <x:c r="D91" s="54" t="str">
        <x:v>Gun Carriage Transom</x:v>
      </x:c>
      <x:c r="E91"/>
    </x:row>
    <x:row r="92">
      <x:c r="A92" s="54" t="str">
        <x:v>QAR-CARR-PIN</x:v>
      </x:c>
      <x:c r="B92" s="54" t="str">
        <x:v>PRT-0029</x:v>
      </x:c>
      <x:c r="C92" s="54" t="str">
        <x:v>SHARED</x:v>
      </x:c>
      <x:c r="D92" s="54" t="str">
        <x:v>Gun Carriage Linchpin</x:v>
      </x:c>
      <x:c r="E92"/>
    </x:row>
    <x:row r="93">
      <x:c r="A93" s="54" t="str">
        <x:v>QAR-CARR-CAP</x:v>
      </x:c>
      <x:c r="B93" s="54" t="str">
        <x:v>ASM-0011</x:v>
      </x:c>
      <x:c r="C93" s="54" t="str">
        <x:v>SHARED</x:v>
      </x:c>
      <x:c r="D93" s="54" t="str">
        <x:v>Gun Carriage Capsquare and Key</x:v>
      </x:c>
      <x:c r="E93"/>
    </x:row>
    <x:row r="94">
      <x:c r="A94" s="54" t="str">
        <x:v>QAR-CARR-QUOIN</x:v>
      </x:c>
      <x:c r="B94" s="54" t="str">
        <x:v>PRT-0030</x:v>
      </x:c>
      <x:c r="C94" s="54" t="str">
        <x:v>SHARED</x:v>
      </x:c>
      <x:c r="D94" s="54" t="str">
        <x:v>Gun Elevation Quoin</x:v>
      </x:c>
      <x:c r="E94"/>
    </x:row>
    <x:row r="95">
      <x:c r="A95" s="54" t="str">
        <x:v>QAR-TOOL-RAMMER</x:v>
      </x:c>
      <x:c r="B95" s="54" t="str">
        <x:v>PRT-0031</x:v>
      </x:c>
      <x:c r="C95" s="54" t="str">
        <x:v>SHARED</x:v>
      </x:c>
      <x:c r="D95" s="54" t="str">
        <x:v>Cannon Rammer</x:v>
      </x:c>
      <x:c r="E95"/>
    </x:row>
    <x:row r="96">
      <x:c r="A96" s="54" t="str">
        <x:v>QAR-TOOL-SPONGE</x:v>
      </x:c>
      <x:c r="B96" s="54" t="str">
        <x:v>PRT-0032</x:v>
      </x:c>
      <x:c r="C96" s="54" t="str">
        <x:v>SHARED</x:v>
      </x:c>
      <x:c r="D96" s="54" t="str">
        <x:v>Cannon Sponge</x:v>
      </x:c>
      <x:c r="E96"/>
    </x:row>
    <x:row r="97">
      <x:c r="A97" s="54" t="str">
        <x:v>QAR-TOOL-WORM</x:v>
      </x:c>
      <x:c r="B97" s="54" t="str">
        <x:v>PRT-0033</x:v>
      </x:c>
      <x:c r="C97" s="54" t="str">
        <x:v>SHARED</x:v>
      </x:c>
      <x:c r="D97" s="54" t="str">
        <x:v>Cannon Worm</x:v>
      </x:c>
      <x:c r="E97"/>
    </x:row>
    <x:row r="98">
      <x:c r="A98" s="54" t="str">
        <x:v>QAR-TOOL-LADLE</x:v>
      </x:c>
      <x:c r="B98" s="54" t="str">
        <x:v>PRT-0034</x:v>
      </x:c>
      <x:c r="C98" s="54" t="str">
        <x:v>SHARED</x:v>
      </x:c>
      <x:c r="D98" s="54" t="str">
        <x:v>Powder Ladle</x:v>
      </x:c>
      <x:c r="E98"/>
    </x:row>
    <x:row r="99">
      <x:c r="A99" s="54" t="str">
        <x:v>QAR-TOOL-LINSTOCK</x:v>
      </x:c>
      <x:c r="B99" s="54" t="str">
        <x:v>PRT-0035</x:v>
      </x:c>
      <x:c r="C99" s="54" t="str">
        <x:v>SHARED</x:v>
      </x:c>
      <x:c r="D99" s="54" t="str">
        <x:v>Slow-Match Linstock</x:v>
      </x:c>
      <x:c r="E99"/>
    </x:row>
    <x:row r="100">
      <x:c r="A100" s="54" t="str">
        <x:v>QAR-TOOL-HANDSPIKE</x:v>
      </x:c>
      <x:c r="B100" s="54" t="str">
        <x:v>PRT-0036</x:v>
      </x:c>
      <x:c r="C100" s="54" t="str">
        <x:v>SHARED</x:v>
      </x:c>
      <x:c r="D100" s="54" t="str">
        <x:v>Gunner's Handspike</x:v>
      </x:c>
      <x:c r="E100"/>
    </x:row>
    <x:row r="101">
      <x:c r="A101" s="54" t="str">
        <x:v>QAR-TOOL-VENT</x:v>
      </x:c>
      <x:c r="B101" s="54" t="str">
        <x:v>KIT-0015</x:v>
      </x:c>
      <x:c r="C101" s="54" t="str">
        <x:v>SHARED</x:v>
      </x:c>
      <x:c r="D101" s="54" t="str">
        <x:v>Vent Pick and Priming Wire Set</x:v>
      </x:c>
      <x:c r="E101"/>
    </x:row>
    <x:row r="102">
      <x:c r="A102" s="54" t="str">
        <x:v>QAR-GUN-APRON</x:v>
      </x:c>
      <x:c r="B102" s="54" t="str">
        <x:v>PRT-0037</x:v>
      </x:c>
      <x:c r="C102" s="54" t="str">
        <x:v>SHARED</x:v>
      </x:c>
      <x:c r="D102" s="54" t="str">
        <x:v>Lead Touch-Hole Apron</x:v>
      </x:c>
      <x:c r="E102"/>
    </x:row>
    <x:row r="103">
      <x:c r="A103" s="54" t="str">
        <x:v>QAR-TOMPION-6</x:v>
      </x:c>
      <x:c r="B103" s="54" t="str">
        <x:v>PRT-0038</x:v>
      </x:c>
      <x:c r="C103" s="54" t="str">
        <x:v>SHARED</x:v>
      </x:c>
      <x:c r="D103" s="54" t="str">
        <x:v>Six-Pounder Wooden Tompion</x:v>
      </x:c>
      <x:c r="E103"/>
    </x:row>
    <x:row r="104">
      <x:c r="A104" s="54" t="str">
        <x:v>QAR-TOMPION-4</x:v>
      </x:c>
      <x:c r="B104" s="54" t="str">
        <x:v>PRT-0039</x:v>
      </x:c>
      <x:c r="C104" s="54" t="str">
        <x:v>SHARED</x:v>
      </x:c>
      <x:c r="D104" s="54" t="str">
        <x:v>Four-Pounder Wooden Tompion</x:v>
      </x:c>
      <x:c r="E104"/>
    </x:row>
    <x:row r="105">
      <x:c r="A105" s="54" t="str">
        <x:v>QAR-GUN-BUCKET</x:v>
      </x:c>
      <x:c r="B105" s="54" t="str">
        <x:v>PRT-0040</x:v>
      </x:c>
      <x:c r="C105" s="54" t="str">
        <x:v>SHARED</x:v>
      </x:c>
      <x:c r="D105" s="54" t="str">
        <x:v>Gunner's Water Bucket</x:v>
      </x:c>
      <x:c r="E105"/>
    </x:row>
    <x:row r="106">
      <x:c r="A106" s="54" t="str">
        <x:v>QAR-SWIV-RAMMER</x:v>
      </x:c>
      <x:c r="B106" s="54" t="str">
        <x:v>ASM-0012</x:v>
      </x:c>
      <x:c r="C106" s="54" t="str">
        <x:v>SHARED</x:v>
      </x:c>
      <x:c r="D106" s="54" t="str">
        <x:v>Swivel-Gun Rammer and Sponge</x:v>
      </x:c>
      <x:c r="E106"/>
    </x:row>
    <x:row r="107">
      <x:c r="A107" s="54" t="str">
        <x:v>QAR-SWIV-YOKE</x:v>
      </x:c>
      <x:c r="B107" s="54" t="str">
        <x:v>PRT-0041</x:v>
      </x:c>
      <x:c r="C107" s="54" t="str">
        <x:v>SHARED</x:v>
      </x:c>
      <x:c r="D107" s="54" t="str">
        <x:v>Iron Swivel Yoke</x:v>
      </x:c>
      <x:c r="E107"/>
    </x:row>
    <x:row r="108">
      <x:c r="A108" s="54" t="str">
        <x:v>QAR-SWIV-PINTLE</x:v>
      </x:c>
      <x:c r="B108" s="54" t="str">
        <x:v>PRT-0042</x:v>
      </x:c>
      <x:c r="C108" s="54" t="str">
        <x:v>SHARED</x:v>
      </x:c>
      <x:c r="D108" s="54" t="str">
        <x:v>Iron Swivel Pintle</x:v>
      </x:c>
      <x:c r="E108"/>
    </x:row>
    <x:row r="109">
      <x:c r="A109" s="54" t="str">
        <x:v>QAR-ROPE-BREECH6</x:v>
      </x:c>
      <x:c r="B109" s="54" t="str">
        <x:v>PRT-0043</x:v>
      </x:c>
      <x:c r="C109" s="54" t="str">
        <x:v>SHARED</x:v>
      </x:c>
      <x:c r="D109" s="54" t="str">
        <x:v>Six-Pounder Breeching Rope, 24 ft</x:v>
      </x:c>
      <x:c r="E109"/>
    </x:row>
    <x:row r="110">
      <x:c r="A110" s="54" t="str">
        <x:v>QAR-ROPE-BREECH4</x:v>
      </x:c>
      <x:c r="B110" s="54" t="str">
        <x:v>PRT-0044</x:v>
      </x:c>
      <x:c r="C110" s="54" t="str">
        <x:v>SHARED</x:v>
      </x:c>
      <x:c r="D110" s="54" t="str">
        <x:v>Four-Pounder Breeching Rope, 20 ft</x:v>
      </x:c>
      <x:c r="E110"/>
    </x:row>
    <x:row r="111">
      <x:c r="A111" s="54" t="str">
        <x:v>QAR-TACKLE-SIDE</x:v>
      </x:c>
      <x:c r="B111" s="54" t="str">
        <x:v>ASM-0013</x:v>
      </x:c>
      <x:c r="C111" s="54" t="str">
        <x:v>SHARED</x:v>
      </x:c>
      <x:c r="D111" s="54" t="str">
        <x:v>Gun Side-Tackle Assembly</x:v>
      </x:c>
      <x:c r="E111"/>
    </x:row>
    <x:row r="112">
      <x:c r="A112" s="54" t="str">
        <x:v>QAR-BLOCK-SINGLE5</x:v>
      </x:c>
      <x:c r="B112" s="54" t="str">
        <x:v>PRT-0045</x:v>
      </x:c>
      <x:c r="C112" s="54" t="str">
        <x:v>SHARED</x:v>
      </x:c>
      <x:c r="D112" s="54" t="str">
        <x:v>Five-Inch Single Block</x:v>
      </x:c>
      <x:c r="E112"/>
    </x:row>
    <x:row r="113">
      <x:c r="A113" s="54" t="str">
        <x:v>QAR-BLOCK-DOUBLE5</x:v>
      </x:c>
      <x:c r="B113" s="54" t="str">
        <x:v>PRT-0046</x:v>
      </x:c>
      <x:c r="C113" s="54" t="str">
        <x:v>SHARED</x:v>
      </x:c>
      <x:c r="D113" s="54" t="str">
        <x:v>Five-Inch Double Block</x:v>
      </x:c>
      <x:c r="E113"/>
    </x:row>
    <x:row r="114">
      <x:c r="A114" s="54" t="str">
        <x:v>QAR-ROPE-TACKLE30</x:v>
      </x:c>
      <x:c r="B114" s="54" t="str">
        <x:v>PRT-0047</x:v>
      </x:c>
      <x:c r="C114" s="54" t="str">
        <x:v>SHARED</x:v>
      </x:c>
      <x:c r="D114" s="54" t="str">
        <x:v>Gun Tackle Fall, 30 ft</x:v>
      </x:c>
      <x:c r="E114"/>
    </x:row>
    <x:row r="115">
      <x:c r="A115" s="54" t="str">
        <x:v>QAR-HOOK-TACKLE</x:v>
      </x:c>
      <x:c r="B115" s="54" t="str">
        <x:v>PRT-0048</x:v>
      </x:c>
      <x:c r="C115" s="54" t="str">
        <x:v>SHARED</x:v>
      </x:c>
      <x:c r="D115" s="54" t="str">
        <x:v>Iron Tackle Hook</x:v>
      </x:c>
      <x:c r="E115"/>
    </x:row>
    <x:row r="116">
      <x:c r="A116" s="54" t="str">
        <x:v>QAR-SHOT-6</x:v>
      </x:c>
      <x:c r="B116" s="54" t="str">
        <x:v>PRT-0049</x:v>
      </x:c>
      <x:c r="C116" s="54" t="str">
        <x:v>SHARED</x:v>
      </x:c>
      <x:c r="D116" s="54" t="str">
        <x:v>Six-Pound Round Shot</x:v>
      </x:c>
      <x:c r="E116"/>
    </x:row>
    <x:row r="117">
      <x:c r="A117" s="54" t="str">
        <x:v>QAR-SHOT-4</x:v>
      </x:c>
      <x:c r="B117" s="54" t="str">
        <x:v>PRT-0050</x:v>
      </x:c>
      <x:c r="C117" s="54" t="str">
        <x:v>SHARED</x:v>
      </x:c>
      <x:c r="D117" s="54" t="str">
        <x:v>Four-Pound Round Shot</x:v>
      </x:c>
      <x:c r="E117"/>
    </x:row>
    <x:row r="118">
      <x:c r="A118" s="54" t="str">
        <x:v>QAR-SHOT-SWIV</x:v>
      </x:c>
      <x:c r="B118" s="54" t="str">
        <x:v>PRT-0051</x:v>
      </x:c>
      <x:c r="C118" s="54" t="str">
        <x:v>SHARED</x:v>
      </x:c>
      <x:c r="D118" s="54" t="str">
        <x:v>Half-Pound Swivel-Gun Lead Shot</x:v>
      </x:c>
      <x:c r="E118"/>
    </x:row>
    <x:row r="119">
      <x:c r="A119" s="54" t="str">
        <x:v>QAR-SHOT-BAR6</x:v>
      </x:c>
      <x:c r="B119" s="54" t="str">
        <x:v>PRT-0052</x:v>
      </x:c>
      <x:c r="C119" s="54" t="str">
        <x:v>SHARED</x:v>
      </x:c>
      <x:c r="D119" s="54" t="str">
        <x:v>Six-Pounder Bar Shot</x:v>
      </x:c>
      <x:c r="E119"/>
    </x:row>
    <x:row r="120">
      <x:c r="A120" s="54" t="str">
        <x:v>QAR-LANGRAGE</x:v>
      </x:c>
      <x:c r="B120" s="54" t="str">
        <x:v>ASM-0014</x:v>
      </x:c>
      <x:c r="C120" s="54" t="str">
        <x:v>SHARED</x:v>
      </x:c>
      <x:c r="D120" s="54" t="str">
        <x:v>Langrage Canister</x:v>
      </x:c>
      <x:c r="E120"/>
    </x:row>
    <x:row r="121">
      <x:c r="A121" s="54" t="str">
        <x:v>QAR-WAD-6</x:v>
      </x:c>
      <x:c r="B121" s="54" t="str">
        <x:v>MAT-0002</x:v>
      </x:c>
      <x:c r="C121" s="54" t="str">
        <x:v>SHARED</x:v>
      </x:c>
      <x:c r="D121" s="54" t="str">
        <x:v>Six-Pounder Cannon Wad</x:v>
      </x:c>
      <x:c r="E121"/>
    </x:row>
    <x:row r="122">
      <x:c r="A122" s="54" t="str">
        <x:v>QAR-WAD-4</x:v>
      </x:c>
      <x:c r="B122" s="54" t="str">
        <x:v>MAT-0003</x:v>
      </x:c>
      <x:c r="C122" s="54" t="str">
        <x:v>SHARED</x:v>
      </x:c>
      <x:c r="D122" s="54" t="str">
        <x:v>Four-Pounder Cannon Wad</x:v>
      </x:c>
      <x:c r="E122"/>
    </x:row>
    <x:row r="123">
      <x:c r="A123" s="54" t="str">
        <x:v>QAR-SHOT-RACK6</x:v>
      </x:c>
      <x:c r="B123" s="54" t="str">
        <x:v>ASM-0015</x:v>
      </x:c>
      <x:c r="C123" s="54" t="str">
        <x:v>SHARED</x:v>
      </x:c>
      <x:c r="D123" s="54" t="str">
        <x:v>Six-Pounder Ready-Shot Rack</x:v>
      </x:c>
      <x:c r="E123"/>
    </x:row>
    <x:row r="124">
      <x:c r="A124" s="54" t="str">
        <x:v>QAR-SHOT-RACK4</x:v>
      </x:c>
      <x:c r="B124" s="54" t="str">
        <x:v>ASM-0016</x:v>
      </x:c>
      <x:c r="C124" s="54" t="str">
        <x:v>SHARED</x:v>
      </x:c>
      <x:c r="D124" s="54" t="str">
        <x:v>Four-Pounder Ready-Shot Rack</x:v>
      </x:c>
      <x:c r="E124"/>
    </x:row>
    <x:row r="125">
      <x:c r="A125" s="54" t="str">
        <x:v>QAR-SHOT-BOX-S</x:v>
      </x:c>
      <x:c r="B125" s="54" t="str">
        <x:v>PKG-0001</x:v>
      </x:c>
      <x:c r="C125" s="54" t="str">
        <x:v>SHARED</x:v>
      </x:c>
      <x:c r="D125" s="54" t="str">
        <x:v>Swivel Shot Box</x:v>
      </x:c>
      <x:c r="E125"/>
    </x:row>
    <x:row r="126">
      <x:c r="A126" s="54" t="str">
        <x:v>QAR-PWD-KEG25</x:v>
      </x:c>
      <x:c r="B126" s="54" t="str">
        <x:v>ASM-0017</x:v>
      </x:c>
      <x:c r="C126" s="54" t="str">
        <x:v>SHARED</x:v>
      </x:c>
      <x:c r="D126" s="54" t="str">
        <x:v>Black Powder Keg, Sealed 25 lb</x:v>
      </x:c>
      <x:c r="E126"/>
    </x:row>
    <x:row r="127">
      <x:c r="A127" s="54" t="str">
        <x:v>QAR-KEG-25</x:v>
      </x:c>
      <x:c r="B127" s="54" t="str">
        <x:v>PKG-0002</x:v>
      </x:c>
      <x:c r="C127" s="54" t="str">
        <x:v>SHARED</x:v>
      </x:c>
      <x:c r="D127" s="54" t="str">
        <x:v>Oak Powder Keg, 25 lb Capacity</x:v>
      </x:c>
      <x:c r="E127"/>
    </x:row>
    <x:row r="128">
      <x:c r="A128" s="54" t="str">
        <x:v>QAR-POWDER-LB</x:v>
      </x:c>
      <x:c r="B128" s="54" t="str">
        <x:v>MAT-0004</x:v>
      </x:c>
      <x:c r="C128" s="54" t="str">
        <x:v>SHARED</x:v>
      </x:c>
      <x:c r="D128" s="54" t="str">
        <x:v>Black Powder, Bulk Pound</x:v>
      </x:c>
      <x:c r="E128"/>
    </x:row>
    <x:row r="129">
      <x:c r="A129" s="54" t="str">
        <x:v>QAR-LBL-POWDER</x:v>
      </x:c>
      <x:c r="B129" s="54" t="str">
        <x:v>LBL-0004</x:v>
      </x:c>
      <x:c r="C129" s="54" t="str">
        <x:v>SHARED</x:v>
      </x:c>
      <x:c r="D129" s="54" t="str">
        <x:v>Safety Label - Black Powder / No Flame</x:v>
      </x:c>
      <x:c r="E129"/>
    </x:row>
    <x:row r="130">
      <x:c r="A130" s="54" t="str">
        <x:v>QAR-MAG-TOOL</x:v>
      </x:c>
      <x:c r="B130" s="54" t="str">
        <x:v>KIT-0016</x:v>
      </x:c>
      <x:c r="C130" s="54" t="str">
        <x:v>SHARED</x:v>
      </x:c>
      <x:c r="D130" s="54" t="str">
        <x:v>Magazine Measuring and Issue Kit</x:v>
      </x:c>
      <x:c r="E130"/>
    </x:row>
    <x:row r="131">
      <x:c r="A131" s="54" t="str">
        <x:v>QAR-MAG-LANTERN</x:v>
      </x:c>
      <x:c r="B131" s="54" t="str">
        <x:v>ASM-0018</x:v>
      </x:c>
      <x:c r="C131" s="54" t="str">
        <x:v>SHARED</x:v>
      </x:c>
      <x:c r="D131" s="54" t="str">
        <x:v>Enclosed Magazine Lantern</x:v>
      </x:c>
      <x:c r="E131"/>
    </x:row>
    <x:row r="132">
      <x:c r="A132" s="54" t="str">
        <x:v>QAR-PASS-BOX</x:v>
      </x:c>
      <x:c r="B132" s="54" t="str">
        <x:v>PKG-0003</x:v>
      </x:c>
      <x:c r="C132" s="54" t="str">
        <x:v>SHARED</x:v>
      </x:c>
      <x:c r="D132" s="54" t="str">
        <x:v>Leather-Lined Powder Passing Box</x:v>
      </x:c>
      <x:c r="E132"/>
    </x:row>
    <x:row r="133">
      <x:c r="A133" s="54" t="str">
        <x:v>QAR-PWD-SCALE</x:v>
      </x:c>
      <x:c r="B133" s="54" t="str">
        <x:v>PRT-0053</x:v>
      </x:c>
      <x:c r="C133" s="54" t="str">
        <x:v>SHARED</x:v>
      </x:c>
      <x:c r="D133" s="54" t="str">
        <x:v>Brass Powder Scale</x:v>
      </x:c>
      <x:c r="E133"/>
    </x:row>
    <x:row r="134">
      <x:c r="A134" s="54" t="str">
        <x:v>QAR-PWD-WEIGHTS</x:v>
      </x:c>
      <x:c r="B134" s="54" t="str">
        <x:v>KIT-0017</x:v>
      </x:c>
      <x:c r="C134" s="54" t="str">
        <x:v>SHARED</x:v>
      </x:c>
      <x:c r="D134" s="54" t="str">
        <x:v>Brass Powder Weight Set</x:v>
      </x:c>
      <x:c r="E134"/>
    </x:row>
    <x:row r="135">
      <x:c r="A135" s="54" t="str">
        <x:v>QAR-PWD-SCOOP</x:v>
      </x:c>
      <x:c r="B135" s="54" t="str">
        <x:v>PRT-0054</x:v>
      </x:c>
      <x:c r="C135" s="54" t="str">
        <x:v>SHARED</x:v>
      </x:c>
      <x:c r="D135" s="54" t="str">
        <x:v>Copper Powder Scoop</x:v>
      </x:c>
      <x:c r="E135"/>
    </x:row>
    <x:row r="136">
      <x:c r="A136" s="54" t="str">
        <x:v>QAR-PWD-FUNNEL</x:v>
      </x:c>
      <x:c r="B136" s="54" t="str">
        <x:v>PRT-0055</x:v>
      </x:c>
      <x:c r="C136" s="54" t="str">
        <x:v>SHARED</x:v>
      </x:c>
      <x:c r="D136" s="54" t="str">
        <x:v>Copper Cartridge Funnel</x:v>
      </x:c>
      <x:c r="E136"/>
    </x:row>
    <x:row r="137">
      <x:c r="A137" s="54" t="str">
        <x:v>QAR-CART-BAG6</x:v>
      </x:c>
      <x:c r="B137" s="54" t="str">
        <x:v>MAT-0005</x:v>
      </x:c>
      <x:c r="C137" s="54" t="str">
        <x:v>SHARED</x:v>
      </x:c>
      <x:c r="D137" s="54" t="str">
        <x:v>Six-Pounder Powder Cartridge Bag</x:v>
      </x:c>
      <x:c r="E137"/>
    </x:row>
    <x:row r="138">
      <x:c r="A138" s="54" t="str">
        <x:v>QAR-CART-BAG4</x:v>
      </x:c>
      <x:c r="B138" s="54" t="str">
        <x:v>MAT-0006</x:v>
      </x:c>
      <x:c r="C138" s="54" t="str">
        <x:v>SHARED</x:v>
      </x:c>
      <x:c r="D138" s="54" t="str">
        <x:v>Four-Pounder Powder Cartridge Bag</x:v>
      </x:c>
      <x:c r="E138"/>
    </x:row>
    <x:row r="139">
      <x:c r="A139" s="54" t="str">
        <x:v>QAR-MUSKET-OUT</x:v>
      </x:c>
      <x:c r="B139" s="54" t="str">
        <x:v>KIT-0018</x:v>
      </x:c>
      <x:c r="C139" s="54" t="str">
        <x:v>SHARED</x:v>
      </x:c>
      <x:c r="D139" s="54" t="str">
        <x:v>Flintlock Musket Outfit</x:v>
      </x:c>
      <x:c r="E139"/>
    </x:row>
    <x:row r="140">
      <x:c r="A140" s="54" t="str">
        <x:v>QAR-PISTOL-PAIR</x:v>
      </x:c>
      <x:c r="B140" s="54" t="str">
        <x:v>KIT-0019</x:v>
      </x:c>
      <x:c r="C140" s="54" t="str">
        <x:v>SHARED</x:v>
      </x:c>
      <x:c r="D140" s="54" t="str">
        <x:v>Flintlock Pistol Pair Outfit</x:v>
      </x:c>
      <x:c r="E140"/>
    </x:row>
    <x:row r="141">
      <x:c r="A141" s="54" t="str">
        <x:v>QAR-CUTLASS</x:v>
      </x:c>
      <x:c r="B141" s="54" t="str">
        <x:v>PRT-0056</x:v>
      </x:c>
      <x:c r="C141" s="54" t="str">
        <x:v>SHARED</x:v>
      </x:c>
      <x:c r="D141" s="54" t="str">
        <x:v>Boarding Cutlass</x:v>
      </x:c>
      <x:c r="E141"/>
    </x:row>
    <x:row r="142">
      <x:c r="A142" s="54" t="str">
        <x:v>QAR-BOARD-AXE</x:v>
      </x:c>
      <x:c r="B142" s="54" t="str">
        <x:v>PRT-0057</x:v>
      </x:c>
      <x:c r="C142" s="54" t="str">
        <x:v>SHARED</x:v>
      </x:c>
      <x:c r="D142" s="54" t="str">
        <x:v>Boarding Axe</x:v>
      </x:c>
      <x:c r="E142"/>
    </x:row>
    <x:row r="143">
      <x:c r="A143" s="54" t="str">
        <x:v>QAR-BOARD-PIKE</x:v>
      </x:c>
      <x:c r="B143" s="54" t="str">
        <x:v>PRT-0058</x:v>
      </x:c>
      <x:c r="C143" s="54" t="str">
        <x:v>SHARED</x:v>
      </x:c>
      <x:c r="D143" s="54" t="str">
        <x:v>Boarding Pike</x:v>
      </x:c>
      <x:c r="E143"/>
    </x:row>
    <x:row r="144">
      <x:c r="A144" s="54" t="str">
        <x:v>QAR-GRENADE</x:v>
      </x:c>
      <x:c r="B144" s="54" t="str">
        <x:v>ASM-0019</x:v>
      </x:c>
      <x:c r="C144" s="54" t="str">
        <x:v>SHARED</x:v>
      </x:c>
      <x:c r="D144" s="54" t="str">
        <x:v>Cast-Iron Hand Grenade</x:v>
      </x:c>
      <x:c r="E144"/>
    </x:row>
    <x:row r="145">
      <x:c r="A145" s="54" t="str">
        <x:v>QAR-MUSKET</x:v>
      </x:c>
      <x:c r="B145" s="54" t="str">
        <x:v>PRT-0059</x:v>
      </x:c>
      <x:c r="C145" s="54" t="str">
        <x:v>SHARED</x:v>
      </x:c>
      <x:c r="D145" s="54" t="str">
        <x:v>Flintlock Musket</x:v>
      </x:c>
      <x:c r="E145"/>
    </x:row>
    <x:row r="146">
      <x:c r="A146" s="54" t="str">
        <x:v>QAR-PISTOL</x:v>
      </x:c>
      <x:c r="B146" s="54" t="str">
        <x:v>PRT-0060</x:v>
      </x:c>
      <x:c r="C146" s="54" t="str">
        <x:v>SHARED</x:v>
      </x:c>
      <x:c r="D146" s="54" t="str">
        <x:v>Flintlock Pistol</x:v>
      </x:c>
      <x:c r="E146"/>
    </x:row>
    <x:row r="147">
      <x:c r="A147" s="54" t="str">
        <x:v>QAR-GUNFLINT</x:v>
      </x:c>
      <x:c r="B147" s="54" t="str">
        <x:v>MAT-0007</x:v>
      </x:c>
      <x:c r="C147" s="54" t="str">
        <x:v>SHARED</x:v>
      </x:c>
      <x:c r="D147" s="54" t="str">
        <x:v>Gunflint</x:v>
      </x:c>
      <x:c r="E147"/>
    </x:row>
    <x:row r="148">
      <x:c r="A148" s="54" t="str">
        <x:v>QAR-MUSKET-BALL</x:v>
      </x:c>
      <x:c r="B148" s="54" t="str">
        <x:v>MAT-0008</x:v>
      </x:c>
      <x:c r="C148" s="54" t="str">
        <x:v>SHARED</x:v>
      </x:c>
      <x:c r="D148" s="54" t="str">
        <x:v>Musket Ball</x:v>
      </x:c>
      <x:c r="E148"/>
    </x:row>
    <x:row r="149">
      <x:c r="A149" s="54" t="str">
        <x:v>QAR-PISTOL-BALL</x:v>
      </x:c>
      <x:c r="B149" s="54" t="str">
        <x:v>MAT-0009</x:v>
      </x:c>
      <x:c r="C149" s="54" t="str">
        <x:v>SHARED</x:v>
      </x:c>
      <x:c r="D149" s="54" t="str">
        <x:v>Pistol Ball</x:v>
      </x:c>
      <x:c r="E149"/>
    </x:row>
    <x:row r="150">
      <x:c r="A150" s="54" t="str">
        <x:v>QAR-CART-BOX</x:v>
      </x:c>
      <x:c r="B150" s="54" t="str">
        <x:v>PKG-0004</x:v>
      </x:c>
      <x:c r="C150" s="54" t="str">
        <x:v>SHARED</x:v>
      </x:c>
      <x:c r="D150" s="54" t="str">
        <x:v>Leather Cartridge Box</x:v>
      </x:c>
      <x:c r="E150"/>
    </x:row>
    <x:row r="151">
      <x:c r="A151" s="54" t="str">
        <x:v>QAR-GUN-CLEAN</x:v>
      </x:c>
      <x:c r="B151" s="54" t="str">
        <x:v>PRT-0061</x:v>
      </x:c>
      <x:c r="C151" s="54" t="str">
        <x:v>SHARED</x:v>
      </x:c>
      <x:c r="D151" s="54" t="str">
        <x:v>Personal Firearm Cleaning Tool</x:v>
      </x:c>
      <x:c r="E151"/>
    </x:row>
    <x:row r="152">
      <x:c r="A152" s="54" t="str">
        <x:v>QAR-BULLET-MOLD</x:v>
      </x:c>
      <x:c r="B152" s="54" t="str">
        <x:v>PRT-0062</x:v>
      </x:c>
      <x:c r="C152" s="54" t="str">
        <x:v>SHARED</x:v>
      </x:c>
      <x:c r="D152" s="54" t="str">
        <x:v>Lead Bullet Mold</x:v>
      </x:c>
      <x:c r="E152"/>
    </x:row>
    <x:row r="153">
      <x:c r="A153" s="54" t="str">
        <x:v>QAR-SPARS</x:v>
      </x:c>
      <x:c r="B153" s="54" t="str">
        <x:v>QAR-0025</x:v>
      </x:c>
      <x:c r="C153" s="54" t="str">
        <x:v>SHIP-SPECIFIC</x:v>
      </x:c>
      <x:c r="D153" s="54" t="str">
        <x:v>Mast and Spar Outfit</x:v>
      </x:c>
      <x:c r="E153"/>
    </x:row>
    <x:row r="154">
      <x:c r="A154" s="54" t="str">
        <x:v>QAR-STAND-RIG</x:v>
      </x:c>
      <x:c r="B154" s="54" t="str">
        <x:v>OFT-0009</x:v>
      </x:c>
      <x:c r="C154" s="54" t="str">
        <x:v>SHARED</x:v>
      </x:c>
      <x:c r="D154" s="54" t="str">
        <x:v>Standing Rigging Outfit</x:v>
      </x:c>
      <x:c r="E154"/>
    </x:row>
    <x:row r="155">
      <x:c r="A155" s="54" t="str">
        <x:v>QAR-RUN-RIG</x:v>
      </x:c>
      <x:c r="B155" s="54" t="str">
        <x:v>OFT-0010</x:v>
      </x:c>
      <x:c r="C155" s="54" t="str">
        <x:v>SHARED</x:v>
      </x:c>
      <x:c r="D155" s="54" t="str">
        <x:v>Running Rigging Outfit</x:v>
      </x:c>
      <x:c r="E155"/>
    </x:row>
    <x:row r="156">
      <x:c r="A156" s="54" t="str">
        <x:v>QAR-SAILPLAN</x:v>
      </x:c>
      <x:c r="B156" s="54" t="str">
        <x:v>QAR-0026</x:v>
      </x:c>
      <x:c r="C156" s="54" t="str">
        <x:v>SHIP-SPECIFIC</x:v>
      </x:c>
      <x:c r="D156" s="54" t="str">
        <x:v>Complete Sail Inventory</x:v>
      </x:c>
      <x:c r="E156"/>
    </x:row>
    <x:row r="157">
      <x:c r="A157" s="54" t="str">
        <x:v>QAR-RIG-HARD</x:v>
      </x:c>
      <x:c r="B157" s="54" t="str">
        <x:v>OFT-0011</x:v>
      </x:c>
      <x:c r="C157" s="54" t="str">
        <x:v>SHARED</x:v>
      </x:c>
      <x:c r="D157" s="54" t="str">
        <x:v>Blocks, Deadeyes and Rigging Hardware</x:v>
      </x:c>
      <x:c r="E157"/>
    </x:row>
    <x:row r="158">
      <x:c r="A158" s="54" t="str">
        <x:v>QAR-MAST-MAIN</x:v>
      </x:c>
      <x:c r="B158" s="54" t="str">
        <x:v>QAR-0027</x:v>
      </x:c>
      <x:c r="C158" s="54" t="str">
        <x:v>SHIP-SPECIFIC</x:v>
      </x:c>
      <x:c r="D158" s="54" t="str">
        <x:v>Main Mast Assembly</x:v>
      </x:c>
      <x:c r="E158"/>
    </x:row>
    <x:row r="159">
      <x:c r="A159" s="54" t="str">
        <x:v>QAR-MAST-FORE</x:v>
      </x:c>
      <x:c r="B159" s="54" t="str">
        <x:v>QAR-0028</x:v>
      </x:c>
      <x:c r="C159" s="54" t="str">
        <x:v>SHIP-SPECIFIC</x:v>
      </x:c>
      <x:c r="D159" s="54" t="str">
        <x:v>Fore Mast Assembly</x:v>
      </x:c>
      <x:c r="E159"/>
    </x:row>
    <x:row r="160">
      <x:c r="A160" s="54" t="str">
        <x:v>QAR-MAST-MIZ</x:v>
      </x:c>
      <x:c r="B160" s="54" t="str">
        <x:v>QAR-0029</x:v>
      </x:c>
      <x:c r="C160" s="54" t="str">
        <x:v>SHIP-SPECIFIC</x:v>
      </x:c>
      <x:c r="D160" s="54" t="str">
        <x:v>Mizzen Mast Assembly</x:v>
      </x:c>
      <x:c r="E160"/>
    </x:row>
    <x:row r="161">
      <x:c r="A161" s="54" t="str">
        <x:v>QAR-BOWSPRIT</x:v>
      </x:c>
      <x:c r="B161" s="54" t="str">
        <x:v>QAR-0030</x:v>
      </x:c>
      <x:c r="C161" s="54" t="str">
        <x:v>SHIP-SPECIFIC</x:v>
      </x:c>
      <x:c r="D161" s="54" t="str">
        <x:v>Bowsprit Assembly</x:v>
      </x:c>
      <x:c r="E161"/>
    </x:row>
    <x:row r="162">
      <x:c r="A162" s="54" t="str">
        <x:v>QAR-YARD-MAIN</x:v>
      </x:c>
      <x:c r="B162" s="54" t="str">
        <x:v>QAR-0031</x:v>
      </x:c>
      <x:c r="C162" s="54" t="str">
        <x:v>SHIP-SPECIFIC</x:v>
      </x:c>
      <x:c r="D162" s="54" t="str">
        <x:v>Main Yard</x:v>
      </x:c>
      <x:c r="E162"/>
    </x:row>
    <x:row r="163">
      <x:c r="A163" s="54" t="str">
        <x:v>QAR-YARD-MTOP</x:v>
      </x:c>
      <x:c r="B163" s="54" t="str">
        <x:v>QAR-0032</x:v>
      </x:c>
      <x:c r="C163" s="54" t="str">
        <x:v>SHIP-SPECIFIC</x:v>
      </x:c>
      <x:c r="D163" s="54" t="str">
        <x:v>Main Topsail Yard</x:v>
      </x:c>
      <x:c r="E163"/>
    </x:row>
    <x:row r="164">
      <x:c r="A164" s="54" t="str">
        <x:v>QAR-YARD-MTG</x:v>
      </x:c>
      <x:c r="B164" s="54" t="str">
        <x:v>QAR-0033</x:v>
      </x:c>
      <x:c r="C164" s="54" t="str">
        <x:v>SHIP-SPECIFIC</x:v>
      </x:c>
      <x:c r="D164" s="54" t="str">
        <x:v>Main Topgallant Yard</x:v>
      </x:c>
      <x:c r="E164"/>
    </x:row>
    <x:row r="165">
      <x:c r="A165" s="54" t="str">
        <x:v>QAR-YARD-FORE</x:v>
      </x:c>
      <x:c r="B165" s="54" t="str">
        <x:v>QAR-0034</x:v>
      </x:c>
      <x:c r="C165" s="54" t="str">
        <x:v>SHIP-SPECIFIC</x:v>
      </x:c>
      <x:c r="D165" s="54" t="str">
        <x:v>Fore Yard</x:v>
      </x:c>
      <x:c r="E165"/>
    </x:row>
    <x:row r="166">
      <x:c r="A166" s="54" t="str">
        <x:v>QAR-YARD-FTOP</x:v>
      </x:c>
      <x:c r="B166" s="54" t="str">
        <x:v>QAR-0035</x:v>
      </x:c>
      <x:c r="C166" s="54" t="str">
        <x:v>SHIP-SPECIFIC</x:v>
      </x:c>
      <x:c r="D166" s="54" t="str">
        <x:v>Fore Topsail Yard</x:v>
      </x:c>
      <x:c r="E166"/>
    </x:row>
    <x:row r="167">
      <x:c r="A167" s="54" t="str">
        <x:v>QAR-YARD-FTG</x:v>
      </x:c>
      <x:c r="B167" s="54" t="str">
        <x:v>QAR-0036</x:v>
      </x:c>
      <x:c r="C167" s="54" t="str">
        <x:v>SHIP-SPECIFIC</x:v>
      </x:c>
      <x:c r="D167" s="54" t="str">
        <x:v>Fore Topgallant Yard</x:v>
      </x:c>
      <x:c r="E167"/>
    </x:row>
    <x:row r="168">
      <x:c r="A168" s="54" t="str">
        <x:v>QAR-YARD-MIZ</x:v>
      </x:c>
      <x:c r="B168" s="54" t="str">
        <x:v>QAR-0037</x:v>
      </x:c>
      <x:c r="C168" s="54" t="str">
        <x:v>SHIP-SPECIFIC</x:v>
      </x:c>
      <x:c r="D168" s="54" t="str">
        <x:v>Mizzen Yard</x:v>
      </x:c>
      <x:c r="E168"/>
    </x:row>
    <x:row r="169">
      <x:c r="A169" s="54" t="str">
        <x:v>QAR-YARD-SPRIT</x:v>
      </x:c>
      <x:c r="B169" s="54" t="str">
        <x:v>QAR-0038</x:v>
      </x:c>
      <x:c r="C169" s="54" t="str">
        <x:v>SHIP-SPECIFIC</x:v>
      </x:c>
      <x:c r="D169" s="54" t="str">
        <x:v>Spritsail Yard</x:v>
      </x:c>
      <x:c r="E169"/>
    </x:row>
    <x:row r="170">
      <x:c r="A170" s="54" t="str">
        <x:v>QAR-SHROUD-MAIN</x:v>
      </x:c>
      <x:c r="B170" s="54" t="str">
        <x:v>ASM-0020</x:v>
      </x:c>
      <x:c r="C170" s="54" t="str">
        <x:v>SHARED</x:v>
      </x:c>
      <x:c r="D170" s="54" t="str">
        <x:v>Main Shroud Pair</x:v>
      </x:c>
      <x:c r="E170"/>
    </x:row>
    <x:row r="171">
      <x:c r="A171" s="54" t="str">
        <x:v>QAR-SHROUD-FORE</x:v>
      </x:c>
      <x:c r="B171" s="54" t="str">
        <x:v>ASM-0021</x:v>
      </x:c>
      <x:c r="C171" s="54" t="str">
        <x:v>SHARED</x:v>
      </x:c>
      <x:c r="D171" s="54" t="str">
        <x:v>Fore Shroud Pair</x:v>
      </x:c>
      <x:c r="E171"/>
    </x:row>
    <x:row r="172">
      <x:c r="A172" s="54" t="str">
        <x:v>QAR-SHROUD-MIZ</x:v>
      </x:c>
      <x:c r="B172" s="54" t="str">
        <x:v>ASM-0022</x:v>
      </x:c>
      <x:c r="C172" s="54" t="str">
        <x:v>SHARED</x:v>
      </x:c>
      <x:c r="D172" s="54" t="str">
        <x:v>Mizzen Shroud Pair</x:v>
      </x:c>
      <x:c r="E172"/>
    </x:row>
    <x:row r="173">
      <x:c r="A173" s="54" t="str">
        <x:v>QAR-STAY-MAIN</x:v>
      </x:c>
      <x:c r="B173" s="54" t="str">
        <x:v>PRT-0063</x:v>
      </x:c>
      <x:c r="C173" s="54" t="str">
        <x:v>SHARED</x:v>
      </x:c>
      <x:c r="D173" s="54" t="str">
        <x:v>Main Stay</x:v>
      </x:c>
      <x:c r="E173"/>
    </x:row>
    <x:row r="174">
      <x:c r="A174" s="54" t="str">
        <x:v>QAR-STAY-FORE</x:v>
      </x:c>
      <x:c r="B174" s="54" t="str">
        <x:v>PRT-0064</x:v>
      </x:c>
      <x:c r="C174" s="54" t="str">
        <x:v>SHARED</x:v>
      </x:c>
      <x:c r="D174" s="54" t="str">
        <x:v>Fore Stay</x:v>
      </x:c>
      <x:c r="E174"/>
    </x:row>
    <x:row r="175">
      <x:c r="A175" s="54" t="str">
        <x:v>QAR-STAY-MIZ</x:v>
      </x:c>
      <x:c r="B175" s="54" t="str">
        <x:v>PRT-0065</x:v>
      </x:c>
      <x:c r="C175" s="54" t="str">
        <x:v>SHARED</x:v>
      </x:c>
      <x:c r="D175" s="54" t="str">
        <x:v>Mizzen Stay</x:v>
      </x:c>
      <x:c r="E175"/>
    </x:row>
    <x:row r="176">
      <x:c r="A176" s="54" t="str">
        <x:v>QAR-BACKSTAY</x:v>
      </x:c>
      <x:c r="B176" s="54" t="str">
        <x:v>PRT-0066</x:v>
      </x:c>
      <x:c r="C176" s="54" t="str">
        <x:v>SHARED</x:v>
      </x:c>
      <x:c r="D176" s="54" t="str">
        <x:v>Running Backstay</x:v>
      </x:c>
      <x:c r="E176"/>
    </x:row>
    <x:row r="177">
      <x:c r="A177" s="54" t="str">
        <x:v>QAR-RATLINE-COIL</x:v>
      </x:c>
      <x:c r="B177" s="54" t="str">
        <x:v>PRT-0067</x:v>
      </x:c>
      <x:c r="C177" s="54" t="str">
        <x:v>SHARED</x:v>
      </x:c>
      <x:c r="D177" s="54" t="str">
        <x:v>Ratline Cordage, 200 ft Coil</x:v>
      </x:c>
      <x:c r="E177"/>
    </x:row>
    <x:row r="178">
      <x:c r="A178" s="54" t="str">
        <x:v>QAR-DEADEYE-L</x:v>
      </x:c>
      <x:c r="B178" s="54" t="str">
        <x:v>PRT-0068</x:v>
      </x:c>
      <x:c r="C178" s="54" t="str">
        <x:v>SHARED</x:v>
      </x:c>
      <x:c r="D178" s="54" t="str">
        <x:v>Large Deadeye</x:v>
      </x:c>
      <x:c r="E178"/>
    </x:row>
    <x:row r="179">
      <x:c r="A179" s="54" t="str">
        <x:v>QAR-DEADEYE-M</x:v>
      </x:c>
      <x:c r="B179" s="54" t="str">
        <x:v>PRT-0069</x:v>
      </x:c>
      <x:c r="C179" s="54" t="str">
        <x:v>SHARED</x:v>
      </x:c>
      <x:c r="D179" s="54" t="str">
        <x:v>Medium Deadeye</x:v>
      </x:c>
      <x:c r="E179"/>
    </x:row>
    <x:row r="180">
      <x:c r="A180" s="54" t="str">
        <x:v>QAR-LANYARD-50</x:v>
      </x:c>
      <x:c r="B180" s="54" t="str">
        <x:v>PRT-0070</x:v>
      </x:c>
      <x:c r="C180" s="54" t="str">
        <x:v>SHARED</x:v>
      </x:c>
      <x:c r="D180" s="54" t="str">
        <x:v>Deadeye Lanyard, 50 ft</x:v>
      </x:c>
      <x:c r="E180"/>
    </x:row>
    <x:row r="181">
      <x:c r="A181" s="54" t="str">
        <x:v>QAR-CHAINPLATE</x:v>
      </x:c>
      <x:c r="B181" s="54" t="str">
        <x:v>PRT-0071</x:v>
      </x:c>
      <x:c r="C181" s="54" t="str">
        <x:v>SHARED</x:v>
      </x:c>
      <x:c r="D181" s="54" t="str">
        <x:v>Iron Chainplate</x:v>
      </x:c>
      <x:c r="E181"/>
    </x:row>
    <x:row r="182">
      <x:c r="A182" s="54" t="str">
        <x:v>QAR-LINE-HALYARD-L</x:v>
      </x:c>
      <x:c r="B182" s="54" t="str">
        <x:v>PRT-0072</x:v>
      </x:c>
      <x:c r="C182" s="54" t="str">
        <x:v>SHARED</x:v>
      </x:c>
      <x:c r="D182" s="54" t="str">
        <x:v>Large Halyard, 200 ft</x:v>
      </x:c>
      <x:c r="E182"/>
    </x:row>
    <x:row r="183">
      <x:c r="A183" s="54" t="str">
        <x:v>QAR-LINE-HALYARD-M</x:v>
      </x:c>
      <x:c r="B183" s="54" t="str">
        <x:v>PRT-0073</x:v>
      </x:c>
      <x:c r="C183" s="54" t="str">
        <x:v>SHARED</x:v>
      </x:c>
      <x:c r="D183" s="54" t="str">
        <x:v>Medium Halyard, 160 ft</x:v>
      </x:c>
      <x:c r="E183"/>
    </x:row>
    <x:row r="184">
      <x:c r="A184" s="54" t="str">
        <x:v>QAR-LINE-SHEET-L</x:v>
      </x:c>
      <x:c r="B184" s="54" t="str">
        <x:v>PRT-0074</x:v>
      </x:c>
      <x:c r="C184" s="54" t="str">
        <x:v>SHARED</x:v>
      </x:c>
      <x:c r="D184" s="54" t="str">
        <x:v>Large Sail Sheet, 180 ft</x:v>
      </x:c>
      <x:c r="E184"/>
    </x:row>
    <x:row r="185">
      <x:c r="A185" s="54" t="str">
        <x:v>QAR-LINE-SHEET-M</x:v>
      </x:c>
      <x:c r="B185" s="54" t="str">
        <x:v>PRT-0075</x:v>
      </x:c>
      <x:c r="C185" s="54" t="str">
        <x:v>SHARED</x:v>
      </x:c>
      <x:c r="D185" s="54" t="str">
        <x:v>Medium Sail Sheet, 140 ft</x:v>
      </x:c>
      <x:c r="E185"/>
    </x:row>
    <x:row r="186">
      <x:c r="A186" s="54" t="str">
        <x:v>QAR-LINE-BRACE</x:v>
      </x:c>
      <x:c r="B186" s="54" t="str">
        <x:v>PRT-0076</x:v>
      </x:c>
      <x:c r="C186" s="54" t="str">
        <x:v>SHARED</x:v>
      </x:c>
      <x:c r="D186" s="54" t="str">
        <x:v>Yard Brace, 150 ft</x:v>
      </x:c>
      <x:c r="E186"/>
    </x:row>
    <x:row r="187">
      <x:c r="A187" s="54" t="str">
        <x:v>QAR-LINE-LIFT</x:v>
      </x:c>
      <x:c r="B187" s="54" t="str">
        <x:v>PRT-0077</x:v>
      </x:c>
      <x:c r="C187" s="54" t="str">
        <x:v>SHARED</x:v>
      </x:c>
      <x:c r="D187" s="54" t="str">
        <x:v>Yard Lift, 120 ft</x:v>
      </x:c>
      <x:c r="E187"/>
    </x:row>
    <x:row r="188">
      <x:c r="A188" s="54" t="str">
        <x:v>QAR-LINE-CLEW</x:v>
      </x:c>
      <x:c r="B188" s="54" t="str">
        <x:v>PRT-0078</x:v>
      </x:c>
      <x:c r="C188" s="54" t="str">
        <x:v>SHARED</x:v>
      </x:c>
      <x:c r="D188" s="54" t="str">
        <x:v>Clewline, 100 ft</x:v>
      </x:c>
      <x:c r="E188"/>
    </x:row>
    <x:row r="189">
      <x:c r="A189" s="54" t="str">
        <x:v>QAR-LINE-BUNT</x:v>
      </x:c>
      <x:c r="B189" s="54" t="str">
        <x:v>PRT-0079</x:v>
      </x:c>
      <x:c r="C189" s="54" t="str">
        <x:v>SHARED</x:v>
      </x:c>
      <x:c r="D189" s="54" t="str">
        <x:v>Buntline, 100 ft</x:v>
      </x:c>
      <x:c r="E189"/>
    </x:row>
    <x:row r="190">
      <x:c r="A190" s="54" t="str">
        <x:v>QAR-LINE-TACK</x:v>
      </x:c>
      <x:c r="B190" s="54" t="str">
        <x:v>PRT-0080</x:v>
      </x:c>
      <x:c r="C190" s="54" t="str">
        <x:v>SHARED</x:v>
      </x:c>
      <x:c r="D190" s="54" t="str">
        <x:v>Course Tack, 100 ft</x:v>
      </x:c>
      <x:c r="E190"/>
    </x:row>
    <x:row r="191">
      <x:c r="A191" s="54" t="str">
        <x:v>QAR-SAIL-MAIN</x:v>
      </x:c>
      <x:c r="B191" s="54" t="str">
        <x:v>QAR-0039</x:v>
      </x:c>
      <x:c r="C191" s="54" t="str">
        <x:v>SHIP-SPECIFIC</x:v>
      </x:c>
      <x:c r="D191" s="54" t="str">
        <x:v>Main Course Sail</x:v>
      </x:c>
      <x:c r="E191"/>
    </x:row>
    <x:row r="192">
      <x:c r="A192" s="54" t="str">
        <x:v>QAR-SAIL-MTOP</x:v>
      </x:c>
      <x:c r="B192" s="54" t="str">
        <x:v>QAR-0040</x:v>
      </x:c>
      <x:c r="C192" s="54" t="str">
        <x:v>SHIP-SPECIFIC</x:v>
      </x:c>
      <x:c r="D192" s="54" t="str">
        <x:v>Main Topsail</x:v>
      </x:c>
      <x:c r="E192"/>
    </x:row>
    <x:row r="193">
      <x:c r="A193" s="54" t="str">
        <x:v>QAR-SAIL-MTG</x:v>
      </x:c>
      <x:c r="B193" s="54" t="str">
        <x:v>QAR-0041</x:v>
      </x:c>
      <x:c r="C193" s="54" t="str">
        <x:v>SHIP-SPECIFIC</x:v>
      </x:c>
      <x:c r="D193" s="54" t="str">
        <x:v>Main Topgallant Sail</x:v>
      </x:c>
      <x:c r="E193"/>
    </x:row>
    <x:row r="194">
      <x:c r="A194" s="54" t="str">
        <x:v>QAR-SAIL-FORE</x:v>
      </x:c>
      <x:c r="B194" s="54" t="str">
        <x:v>QAR-0042</x:v>
      </x:c>
      <x:c r="C194" s="54" t="str">
        <x:v>SHIP-SPECIFIC</x:v>
      </x:c>
      <x:c r="D194" s="54" t="str">
        <x:v>Fore Course Sail</x:v>
      </x:c>
      <x:c r="E194"/>
    </x:row>
    <x:row r="195">
      <x:c r="A195" s="54" t="str">
        <x:v>QAR-SAIL-FTOP</x:v>
      </x:c>
      <x:c r="B195" s="54" t="str">
        <x:v>QAR-0043</x:v>
      </x:c>
      <x:c r="C195" s="54" t="str">
        <x:v>SHIP-SPECIFIC</x:v>
      </x:c>
      <x:c r="D195" s="54" t="str">
        <x:v>Fore Topsail</x:v>
      </x:c>
      <x:c r="E195"/>
    </x:row>
    <x:row r="196">
      <x:c r="A196" s="54" t="str">
        <x:v>QAR-SAIL-FTG</x:v>
      </x:c>
      <x:c r="B196" s="54" t="str">
        <x:v>QAR-0044</x:v>
      </x:c>
      <x:c r="C196" s="54" t="str">
        <x:v>SHIP-SPECIFIC</x:v>
      </x:c>
      <x:c r="D196" s="54" t="str">
        <x:v>Fore Topgallant Sail</x:v>
      </x:c>
      <x:c r="E196"/>
    </x:row>
    <x:row r="197">
      <x:c r="A197" s="54" t="str">
        <x:v>QAR-SAIL-MIZ</x:v>
      </x:c>
      <x:c r="B197" s="54" t="str">
        <x:v>QAR-0045</x:v>
      </x:c>
      <x:c r="C197" s="54" t="str">
        <x:v>SHIP-SPECIFIC</x:v>
      </x:c>
      <x:c r="D197" s="54" t="str">
        <x:v>Mizzen Sail</x:v>
      </x:c>
      <x:c r="E197"/>
    </x:row>
    <x:row r="198">
      <x:c r="A198" s="54" t="str">
        <x:v>QAR-SAIL-MIZTOP</x:v>
      </x:c>
      <x:c r="B198" s="54" t="str">
        <x:v>QAR-0046</x:v>
      </x:c>
      <x:c r="C198" s="54" t="str">
        <x:v>SHIP-SPECIFIC</x:v>
      </x:c>
      <x:c r="D198" s="54" t="str">
        <x:v>Mizzen Topsail</x:v>
      </x:c>
      <x:c r="E198"/>
    </x:row>
    <x:row r="199">
      <x:c r="A199" s="54" t="str">
        <x:v>QAR-SAIL-SPRIT</x:v>
      </x:c>
      <x:c r="B199" s="54" t="str">
        <x:v>QAR-0047</x:v>
      </x:c>
      <x:c r="C199" s="54" t="str">
        <x:v>SHIP-SPECIFIC</x:v>
      </x:c>
      <x:c r="D199" s="54" t="str">
        <x:v>Spritsail</x:v>
      </x:c>
      <x:c r="E199"/>
    </x:row>
    <x:row r="200">
      <x:c r="A200" s="54" t="str">
        <x:v>QAR-SAIL-SPRTOP</x:v>
      </x:c>
      <x:c r="B200" s="54" t="str">
        <x:v>QAR-0048</x:v>
      </x:c>
      <x:c r="C200" s="54" t="str">
        <x:v>SHIP-SPECIFIC</x:v>
      </x:c>
      <x:c r="D200" s="54" t="str">
        <x:v>Spritsail Topsail</x:v>
      </x:c>
      <x:c r="E200"/>
    </x:row>
    <x:row r="201">
      <x:c r="A201" s="54" t="str">
        <x:v>QAR-SAIL-MSTAY</x:v>
      </x:c>
      <x:c r="B201" s="54" t="str">
        <x:v>QAR-0049</x:v>
      </x:c>
      <x:c r="C201" s="54" t="str">
        <x:v>SHIP-SPECIFIC</x:v>
      </x:c>
      <x:c r="D201" s="54" t="str">
        <x:v>Main Staysail</x:v>
      </x:c>
      <x:c r="E201"/>
    </x:row>
    <x:row r="202">
      <x:c r="A202" s="54" t="str">
        <x:v>QAR-SAIL-FSTAY</x:v>
      </x:c>
      <x:c r="B202" s="54" t="str">
        <x:v>QAR-0050</x:v>
      </x:c>
      <x:c r="C202" s="54" t="str">
        <x:v>SHIP-SPECIFIC</x:v>
      </x:c>
      <x:c r="D202" s="54" t="str">
        <x:v>Fore Staysail</x:v>
      </x:c>
      <x:c r="E202"/>
    </x:row>
    <x:row r="203">
      <x:c r="A203" s="54" t="str">
        <x:v>QAR-SAIL-JIB</x:v>
      </x:c>
      <x:c r="B203" s="54" t="str">
        <x:v>QAR-0051</x:v>
      </x:c>
      <x:c r="C203" s="54" t="str">
        <x:v>SHIP-SPECIFIC</x:v>
      </x:c>
      <x:c r="D203" s="54" t="str">
        <x:v>Jib</x:v>
      </x:c>
      <x:c r="E203"/>
    </x:row>
    <x:row r="204">
      <x:c r="A204" s="54" t="str">
        <x:v>QAR-SAIL-FLYJIB</x:v>
      </x:c>
      <x:c r="B204" s="54" t="str">
        <x:v>QAR-0052</x:v>
      </x:c>
      <x:c r="C204" s="54" t="str">
        <x:v>SHIP-SPECIFIC</x:v>
      </x:c>
      <x:c r="D204" s="54" t="str">
        <x:v>Flying Jib</x:v>
      </x:c>
      <x:c r="E204"/>
    </x:row>
    <x:row r="205">
      <x:c r="A205" s="54" t="str">
        <x:v>QAR-BLOCK-SMALL</x:v>
      </x:c>
      <x:c r="B205" s="54" t="str">
        <x:v>PRT-0081</x:v>
      </x:c>
      <x:c r="C205" s="54" t="str">
        <x:v>SHARED</x:v>
      </x:c>
      <x:c r="D205" s="54" t="str">
        <x:v>Small Single Block</x:v>
      </x:c>
      <x:c r="E205"/>
    </x:row>
    <x:row r="206">
      <x:c r="A206" s="54" t="str">
        <x:v>QAR-BLOCK-MED</x:v>
      </x:c>
      <x:c r="B206" s="54" t="str">
        <x:v>PRT-0082</x:v>
      </x:c>
      <x:c r="C206" s="54" t="str">
        <x:v>SHARED</x:v>
      </x:c>
      <x:c r="D206" s="54" t="str">
        <x:v>Medium Single Block</x:v>
      </x:c>
      <x:c r="E206"/>
    </x:row>
    <x:row r="207">
      <x:c r="A207" s="54" t="str">
        <x:v>QAR-BLOCK-LARGE</x:v>
      </x:c>
      <x:c r="B207" s="54" t="str">
        <x:v>PRT-0083</x:v>
      </x:c>
      <x:c r="C207" s="54" t="str">
        <x:v>SHARED</x:v>
      </x:c>
      <x:c r="D207" s="54" t="str">
        <x:v>Large Single Block</x:v>
      </x:c>
      <x:c r="E207"/>
    </x:row>
    <x:row r="208">
      <x:c r="A208" s="54" t="str">
        <x:v>QAR-BLOCK-DOUBLE</x:v>
      </x:c>
      <x:c r="B208" s="54" t="str">
        <x:v>PRT-0084</x:v>
      </x:c>
      <x:c r="C208" s="54" t="str">
        <x:v>SHARED</x:v>
      </x:c>
      <x:c r="D208" s="54" t="str">
        <x:v>Medium Double Block</x:v>
      </x:c>
      <x:c r="E208"/>
    </x:row>
    <x:row r="209">
      <x:c r="A209" s="54" t="str">
        <x:v>QAR-BLOCK-TRIPLE</x:v>
      </x:c>
      <x:c r="B209" s="54" t="str">
        <x:v>PRT-0085</x:v>
      </x:c>
      <x:c r="C209" s="54" t="str">
        <x:v>SHARED</x:v>
      </x:c>
      <x:c r="D209" s="54" t="str">
        <x:v>Large Triple Block</x:v>
      </x:c>
      <x:c r="E209"/>
    </x:row>
    <x:row r="210">
      <x:c r="A210" s="54" t="str">
        <x:v>QAR-SHACKLE-IRON</x:v>
      </x:c>
      <x:c r="B210" s="54" t="str">
        <x:v>PRT-0086</x:v>
      </x:c>
      <x:c r="C210" s="54" t="str">
        <x:v>SHARED</x:v>
      </x:c>
      <x:c r="D210" s="54" t="str">
        <x:v>Iron Rigging Shackle</x:v>
      </x:c>
      <x:c r="E210"/>
    </x:row>
    <x:row r="211">
      <x:c r="A211" s="54" t="str">
        <x:v>QAR-THIMBLE-ROPE</x:v>
      </x:c>
      <x:c r="B211" s="54" t="str">
        <x:v>PRT-0087</x:v>
      </x:c>
      <x:c r="C211" s="54" t="str">
        <x:v>SHARED</x:v>
      </x:c>
      <x:c r="D211" s="54" t="str">
        <x:v>Rope Thimble</x:v>
      </x:c>
      <x:c r="E211"/>
    </x:row>
    <x:row r="212">
      <x:c r="A212" s="54" t="str">
        <x:v>QAR-ANCHOR-BOWER</x:v>
      </x:c>
      <x:c r="B212" s="54" t="str">
        <x:v>KIT-0020</x:v>
      </x:c>
      <x:c r="C212" s="54" t="str">
        <x:v>SHARED</x:v>
      </x:c>
      <x:c r="D212" s="54" t="str">
        <x:v>Bower Anchor Outfit</x:v>
      </x:c>
      <x:c r="E212"/>
    </x:row>
    <x:row r="213">
      <x:c r="A213" s="54" t="str">
        <x:v>QAR-ANCHOR-SHEET</x:v>
      </x:c>
      <x:c r="B213" s="54" t="str">
        <x:v>KIT-0021</x:v>
      </x:c>
      <x:c r="C213" s="54" t="str">
        <x:v>SHARED</x:v>
      </x:c>
      <x:c r="D213" s="54" t="str">
        <x:v>Sheet Anchor Outfit</x:v>
      </x:c>
      <x:c r="E213"/>
    </x:row>
    <x:row r="214">
      <x:c r="A214" s="54" t="str">
        <x:v>QAR-ANCHOR-STREAM</x:v>
      </x:c>
      <x:c r="B214" s="54" t="str">
        <x:v>KIT-0022</x:v>
      </x:c>
      <x:c r="C214" s="54" t="str">
        <x:v>SHARED</x:v>
      </x:c>
      <x:c r="D214" s="54" t="str">
        <x:v>Stream Anchor Outfit</x:v>
      </x:c>
      <x:c r="E214"/>
    </x:row>
    <x:row r="215">
      <x:c r="A215" s="54" t="str">
        <x:v>QAR-ANCHOR-KEDGE</x:v>
      </x:c>
      <x:c r="B215" s="54" t="str">
        <x:v>KIT-0023</x:v>
      </x:c>
      <x:c r="C215" s="54" t="str">
        <x:v>SHARED</x:v>
      </x:c>
      <x:c r="D215" s="54" t="str">
        <x:v>Kedge Anchor Outfit</x:v>
      </x:c>
      <x:c r="E215"/>
    </x:row>
    <x:row r="216">
      <x:c r="A216" s="54" t="str">
        <x:v>QAR-MOOR-LINES</x:v>
      </x:c>
      <x:c r="B216" s="54" t="str">
        <x:v>OFT-0012</x:v>
      </x:c>
      <x:c r="C216" s="54" t="str">
        <x:v>SHARED</x:v>
      </x:c>
      <x:c r="D216" s="54" t="str">
        <x:v>Mooring Line Outfit</x:v>
      </x:c>
      <x:c r="E216"/>
    </x:row>
    <x:row r="217">
      <x:c r="A217" s="54" t="str">
        <x:v>QAR-ANCHOR-BOWER-P</x:v>
      </x:c>
      <x:c r="B217" s="54" t="str">
        <x:v>PRT-0088</x:v>
      </x:c>
      <x:c r="C217" s="54" t="str">
        <x:v>SHARED</x:v>
      </x:c>
      <x:c r="D217" s="54" t="str">
        <x:v>Bower Anchor</x:v>
      </x:c>
      <x:c r="E217"/>
    </x:row>
    <x:row r="218">
      <x:c r="A218" s="54" t="str">
        <x:v>QAR-ANCHOR-SHEET-P</x:v>
      </x:c>
      <x:c r="B218" s="54" t="str">
        <x:v>PRT-0089</x:v>
      </x:c>
      <x:c r="C218" s="54" t="str">
        <x:v>SHARED</x:v>
      </x:c>
      <x:c r="D218" s="54" t="str">
        <x:v>Sheet Anchor</x:v>
      </x:c>
      <x:c r="E218"/>
    </x:row>
    <x:row r="219">
      <x:c r="A219" s="54" t="str">
        <x:v>QAR-ANCHOR-STREAM-P</x:v>
      </x:c>
      <x:c r="B219" s="54" t="str">
        <x:v>PRT-0090</x:v>
      </x:c>
      <x:c r="C219" s="54" t="str">
        <x:v>SHARED</x:v>
      </x:c>
      <x:c r="D219" s="54" t="str">
        <x:v>Stream Anchor</x:v>
      </x:c>
      <x:c r="E219"/>
    </x:row>
    <x:row r="220">
      <x:c r="A220" s="54" t="str">
        <x:v>QAR-ANCHOR-KEDGE-P</x:v>
      </x:c>
      <x:c r="B220" s="54" t="str">
        <x:v>PRT-0091</x:v>
      </x:c>
      <x:c r="C220" s="54" t="str">
        <x:v>SHARED</x:v>
      </x:c>
      <x:c r="D220" s="54" t="str">
        <x:v>Kedge Anchor</x:v>
      </x:c>
      <x:c r="E220"/>
    </x:row>
    <x:row r="221">
      <x:c r="A221" s="54" t="str">
        <x:v>QAR-CABLE-BOWER</x:v>
      </x:c>
      <x:c r="B221" s="54" t="str">
        <x:v>PRT-0092</x:v>
      </x:c>
      <x:c r="C221" s="54" t="str">
        <x:v>SHARED</x:v>
      </x:c>
      <x:c r="D221" s="54" t="str">
        <x:v>Bower Cable, 600 ft</x:v>
      </x:c>
      <x:c r="E221"/>
    </x:row>
    <x:row r="222">
      <x:c r="A222" s="54" t="str">
        <x:v>QAR-CABLE-SHEET</x:v>
      </x:c>
      <x:c r="B222" s="54" t="str">
        <x:v>PRT-0093</x:v>
      </x:c>
      <x:c r="C222" s="54" t="str">
        <x:v>SHARED</x:v>
      </x:c>
      <x:c r="D222" s="54" t="str">
        <x:v>Sheet Cable, 600 ft</x:v>
      </x:c>
      <x:c r="E222"/>
    </x:row>
    <x:row r="223">
      <x:c r="A223" s="54" t="str">
        <x:v>QAR-CABLE-STREAM</x:v>
      </x:c>
      <x:c r="B223" s="54" t="str">
        <x:v>PRT-0094</x:v>
      </x:c>
      <x:c r="C223" s="54" t="str">
        <x:v>SHARED</x:v>
      </x:c>
      <x:c r="D223" s="54" t="str">
        <x:v>Stream Cable, 400 ft</x:v>
      </x:c>
      <x:c r="E223"/>
    </x:row>
    <x:row r="224">
      <x:c r="A224" s="54" t="str">
        <x:v>QAR-CABLE-KEDGE</x:v>
      </x:c>
      <x:c r="B224" s="54" t="str">
        <x:v>PRT-0095</x:v>
      </x:c>
      <x:c r="C224" s="54" t="str">
        <x:v>SHARED</x:v>
      </x:c>
      <x:c r="D224" s="54" t="str">
        <x:v>Kedge Hawser, 300 ft</x:v>
      </x:c>
      <x:c r="E224"/>
    </x:row>
    <x:row r="225">
      <x:c r="A225" s="54" t="str">
        <x:v>QAR-ANCHOR-BUOY</x:v>
      </x:c>
      <x:c r="B225" s="54" t="str">
        <x:v>ASM-0023</x:v>
      </x:c>
      <x:c r="C225" s="54" t="str">
        <x:v>SHARED</x:v>
      </x:c>
      <x:c r="D225" s="54" t="str">
        <x:v>Anchor Buoy</x:v>
      </x:c>
      <x:c r="E225"/>
    </x:row>
    <x:row r="226">
      <x:c r="A226" s="54" t="str">
        <x:v>QAR-BUOY-ROPE</x:v>
      </x:c>
      <x:c r="B226" s="54" t="str">
        <x:v>PRT-0096</x:v>
      </x:c>
      <x:c r="C226" s="54" t="str">
        <x:v>SHARED</x:v>
      </x:c>
      <x:c r="D226" s="54" t="str">
        <x:v>Anchor Buoy Rope, 100 ft</x:v>
      </x:c>
      <x:c r="E226"/>
    </x:row>
    <x:row r="227">
      <x:c r="A227" s="54" t="str">
        <x:v>QAR-MOOR-HAWSER</x:v>
      </x:c>
      <x:c r="B227" s="54" t="str">
        <x:v>PRT-0097</x:v>
      </x:c>
      <x:c r="C227" s="54" t="str">
        <x:v>SHARED</x:v>
      </x:c>
      <x:c r="D227" s="54" t="str">
        <x:v>Mooring Hawser, 300 ft</x:v>
      </x:c>
      <x:c r="E227"/>
    </x:row>
    <x:row r="228">
      <x:c r="A228" s="54" t="str">
        <x:v>QAR-HEAVING-LINE</x:v>
      </x:c>
      <x:c r="B228" s="54" t="str">
        <x:v>PRT-0098</x:v>
      </x:c>
      <x:c r="C228" s="54" t="str">
        <x:v>SHARED</x:v>
      </x:c>
      <x:c r="D228" s="54" t="str">
        <x:v>Heaving Line, 100 ft</x:v>
      </x:c>
      <x:c r="E228"/>
    </x:row>
    <x:row r="229">
      <x:c r="A229" s="54" t="str">
        <x:v>QAR-LBL-HEAVY</x:v>
      </x:c>
      <x:c r="B229" s="54" t="str">
        <x:v>LBL-0005</x:v>
      </x:c>
      <x:c r="C229" s="54" t="str">
        <x:v>SHARED</x:v>
      </x:c>
      <x:c r="D229" s="54" t="str">
        <x:v>Safety Label - Team Lift / Heavy Tackle</x:v>
      </x:c>
      <x:c r="E229"/>
    </x:row>
    <x:row r="230">
      <x:c r="A230" s="54" t="str">
        <x:v>QAR-BOAT-LONG</x:v>
      </x:c>
      <x:c r="B230" s="54" t="str">
        <x:v>OFT-0013</x:v>
      </x:c>
      <x:c r="C230" s="54" t="str">
        <x:v>SHARED</x:v>
      </x:c>
      <x:c r="D230" s="54" t="str">
        <x:v>Longboat Complete Outfit</x:v>
      </x:c>
      <x:c r="E230"/>
    </x:row>
    <x:row r="231">
      <x:c r="A231" s="54" t="str">
        <x:v>QAR-BOAT-YAWL</x:v>
      </x:c>
      <x:c r="B231" s="54" t="str">
        <x:v>OFT-0014</x:v>
      </x:c>
      <x:c r="C231" s="54" t="str">
        <x:v>SHARED</x:v>
      </x:c>
      <x:c r="D231" s="54" t="str">
        <x:v>Yawl Complete Outfit</x:v>
      </x:c>
      <x:c r="E231"/>
    </x:row>
    <x:row r="232">
      <x:c r="A232" s="54" t="str">
        <x:v>QAR-BOAT-JOLLY</x:v>
      </x:c>
      <x:c r="B232" s="54" t="str">
        <x:v>OFT-0015</x:v>
      </x:c>
      <x:c r="C232" s="54" t="str">
        <x:v>SHARED</x:v>
      </x:c>
      <x:c r="D232" s="54" t="str">
        <x:v>Jolly Boat Complete Outfit</x:v>
      </x:c>
      <x:c r="E232"/>
    </x:row>
    <x:row r="233">
      <x:c r="A233" s="54" t="str">
        <x:v>QAR-HULL-LONG</x:v>
      </x:c>
      <x:c r="B233" s="54" t="str">
        <x:v>ASM-0024</x:v>
      </x:c>
      <x:c r="C233" s="54" t="str">
        <x:v>SHARED</x:v>
      </x:c>
      <x:c r="D233" s="54" t="str">
        <x:v>Longboat Hull</x:v>
      </x:c>
      <x:c r="E233"/>
    </x:row>
    <x:row r="234">
      <x:c r="A234" s="54" t="str">
        <x:v>QAR-HULL-YAWL</x:v>
      </x:c>
      <x:c r="B234" s="54" t="str">
        <x:v>ASM-0025</x:v>
      </x:c>
      <x:c r="C234" s="54" t="str">
        <x:v>SHARED</x:v>
      </x:c>
      <x:c r="D234" s="54" t="str">
        <x:v>Yawl Hull</x:v>
      </x:c>
      <x:c r="E234"/>
    </x:row>
    <x:row r="235">
      <x:c r="A235" s="54" t="str">
        <x:v>QAR-HULL-JOLLY</x:v>
      </x:c>
      <x:c r="B235" s="54" t="str">
        <x:v>ASM-0026</x:v>
      </x:c>
      <x:c r="C235" s="54" t="str">
        <x:v>SHARED</x:v>
      </x:c>
      <x:c r="D235" s="54" t="str">
        <x:v>Jolly Boat Hull</x:v>
      </x:c>
      <x:c r="E235"/>
    </x:row>
    <x:row r="236">
      <x:c r="A236" s="54" t="str">
        <x:v>QAR-OAR-LONG</x:v>
      </x:c>
      <x:c r="B236" s="54" t="str">
        <x:v>PRT-0099</x:v>
      </x:c>
      <x:c r="C236" s="54" t="str">
        <x:v>SHARED</x:v>
      </x:c>
      <x:c r="D236" s="54" t="str">
        <x:v>Longboat Oar</x:v>
      </x:c>
      <x:c r="E236"/>
    </x:row>
    <x:row r="237">
      <x:c r="A237" s="54" t="str">
        <x:v>QAR-OAR-SHORT</x:v>
      </x:c>
      <x:c r="B237" s="54" t="str">
        <x:v>PRT-0100</x:v>
      </x:c>
      <x:c r="C237" s="54" t="str">
        <x:v>SHARED</x:v>
      </x:c>
      <x:c r="D237" s="54" t="str">
        <x:v>Boat Oar</x:v>
      </x:c>
      <x:c r="E237"/>
    </x:row>
    <x:row r="238">
      <x:c r="A238" s="54" t="str">
        <x:v>QAR-BOAT-RUDDER</x:v>
      </x:c>
      <x:c r="B238" s="54" t="str">
        <x:v>ASM-0027</x:v>
      </x:c>
      <x:c r="C238" s="54" t="str">
        <x:v>SHARED</x:v>
      </x:c>
      <x:c r="D238" s="54" t="str">
        <x:v>Boat Rudder and Tiller</x:v>
      </x:c>
      <x:c r="E238"/>
    </x:row>
    <x:row r="239">
      <x:c r="A239" s="54" t="str">
        <x:v>QAR-BOAT-MAST</x:v>
      </x:c>
      <x:c r="B239" s="54" t="str">
        <x:v>ASM-0028</x:v>
      </x:c>
      <x:c r="C239" s="54" t="str">
        <x:v>SHARED</x:v>
      </x:c>
      <x:c r="D239" s="54" t="str">
        <x:v>Boat Mast and Yard</x:v>
      </x:c>
      <x:c r="E239"/>
    </x:row>
    <x:row r="240">
      <x:c r="A240" s="54" t="str">
        <x:v>QAR-BOAT-SAIL</x:v>
      </x:c>
      <x:c r="B240" s="54" t="str">
        <x:v>ASM-0029</x:v>
      </x:c>
      <x:c r="C240" s="54" t="str">
        <x:v>SHARED</x:v>
      </x:c>
      <x:c r="D240" s="54" t="str">
        <x:v>Boat Lug Sail</x:v>
      </x:c>
      <x:c r="E240"/>
    </x:row>
    <x:row r="241">
      <x:c r="A241" s="54" t="str">
        <x:v>QAR-BOAT-GRAPNEL</x:v>
      </x:c>
      <x:c r="B241" s="54" t="str">
        <x:v>ASM-0030</x:v>
      </x:c>
      <x:c r="C241" s="54" t="str">
        <x:v>SHARED</x:v>
      </x:c>
      <x:c r="D241" s="54" t="str">
        <x:v>Boat Grapnel and Line</x:v>
      </x:c>
      <x:c r="E241"/>
    </x:row>
    <x:row r="242">
      <x:c r="A242" s="54" t="str">
        <x:v>QAR-BOAT-PAINTER</x:v>
      </x:c>
      <x:c r="B242" s="54" t="str">
        <x:v>PRT-0101</x:v>
      </x:c>
      <x:c r="C242" s="54" t="str">
        <x:v>SHARED</x:v>
      </x:c>
      <x:c r="D242" s="54" t="str">
        <x:v>Boat Painter, 100 ft</x:v>
      </x:c>
      <x:c r="E242"/>
    </x:row>
    <x:row r="243">
      <x:c r="A243" s="54" t="str">
        <x:v>QAR-BOAT-BAILER</x:v>
      </x:c>
      <x:c r="B243" s="54" t="str">
        <x:v>PRT-0102</x:v>
      </x:c>
      <x:c r="C243" s="54" t="str">
        <x:v>SHARED</x:v>
      </x:c>
      <x:c r="D243" s="54" t="str">
        <x:v>Wooden Boat Bailer</x:v>
      </x:c>
      <x:c r="E243"/>
    </x:row>
    <x:row r="244">
      <x:c r="A244" s="54" t="str">
        <x:v>QAR-BOAT-WATER</x:v>
      </x:c>
      <x:c r="B244" s="54" t="str">
        <x:v>PKG-0005</x:v>
      </x:c>
      <x:c r="C244" s="54" t="str">
        <x:v>SHARED</x:v>
      </x:c>
      <x:c r="D244" s="54" t="str">
        <x:v>Boat Water Breaker, 10 gal</x:v>
      </x:c>
      <x:c r="E244"/>
    </x:row>
    <x:row r="245">
      <x:c r="A245" s="54" t="str">
        <x:v>QAR-BOAT-REPAIR</x:v>
      </x:c>
      <x:c r="B245" s="54" t="str">
        <x:v>KIT-0024</x:v>
      </x:c>
      <x:c r="C245" s="54" t="str">
        <x:v>SHARED</x:v>
      </x:c>
      <x:c r="D245" s="54" t="str">
        <x:v>Boat Emergency Repair Kit</x:v>
      </x:c>
      <x:c r="E245"/>
    </x:row>
    <x:row r="246">
      <x:c r="A246" s="54" t="str">
        <x:v>QAR-NAV-CHEST</x:v>
      </x:c>
      <x:c r="B246" s="54" t="str">
        <x:v>KIT-0025</x:v>
      </x:c>
      <x:c r="C246" s="54" t="str">
        <x:v>SHARED</x:v>
      </x:c>
      <x:c r="D246" s="54" t="str">
        <x:v>Navigator's Instrument Chest</x:v>
      </x:c>
      <x:c r="E246"/>
    </x:row>
    <x:row r="247">
      <x:c r="A247" s="54" t="str">
        <x:v>QAR-PILOT-KIT</x:v>
      </x:c>
      <x:c r="B247" s="54" t="str">
        <x:v>KIT-0026</x:v>
      </x:c>
      <x:c r="C247" s="54" t="str">
        <x:v>SHARED</x:v>
      </x:c>
      <x:c r="D247" s="54" t="str">
        <x:v>Pilotage and Sounding Kit</x:v>
      </x:c>
      <x:c r="E247"/>
    </x:row>
    <x:row r="248">
      <x:c r="A248" s="54" t="str">
        <x:v>QAR-SIGNAL</x:v>
      </x:c>
      <x:c r="B248" s="54" t="str">
        <x:v>OFT-0016</x:v>
      </x:c>
      <x:c r="C248" s="54" t="str">
        <x:v>SHARED</x:v>
      </x:c>
      <x:c r="D248" s="54" t="str">
        <x:v>Flags, Lanterns and Signal Outfit</x:v>
      </x:c>
      <x:c r="E248"/>
    </x:row>
    <x:row r="249">
      <x:c r="A249" s="54" t="str">
        <x:v>QAR-COMPASS</x:v>
      </x:c>
      <x:c r="B249" s="54" t="str">
        <x:v>ASM-0031</x:v>
      </x:c>
      <x:c r="C249" s="54" t="str">
        <x:v>SHARED</x:v>
      </x:c>
      <x:c r="D249" s="54" t="str">
        <x:v>Mariner's Compass in Box</x:v>
      </x:c>
      <x:c r="E249"/>
    </x:row>
    <x:row r="250">
      <x:c r="A250" s="54" t="str">
        <x:v>QAR-BACKSTAFF</x:v>
      </x:c>
      <x:c r="B250" s="54" t="str">
        <x:v>PRT-0103</x:v>
      </x:c>
      <x:c r="C250" s="54" t="str">
        <x:v>SHARED</x:v>
      </x:c>
      <x:c r="D250" s="54" t="str">
        <x:v>Backstaff</x:v>
      </x:c>
      <x:c r="E250"/>
    </x:row>
    <x:row r="251">
      <x:c r="A251" s="54" t="str">
        <x:v>QAR-CROSSSTAFF</x:v>
      </x:c>
      <x:c r="B251" s="54" t="str">
        <x:v>ASM-0032</x:v>
      </x:c>
      <x:c r="C251" s="54" t="str">
        <x:v>SHARED</x:v>
      </x:c>
      <x:c r="D251" s="54" t="str">
        <x:v>Cross-Staff and Universal Mount</x:v>
      </x:c>
      <x:c r="E251"/>
    </x:row>
    <x:row r="252">
      <x:c r="A252" s="54" t="str">
        <x:v>QAR-SECTOR</x:v>
      </x:c>
      <x:c r="B252" s="54" t="str">
        <x:v>PRT-0104</x:v>
      </x:c>
      <x:c r="C252" s="54" t="str">
        <x:v>SHARED</x:v>
      </x:c>
      <x:c r="D252" s="54" t="str">
        <x:v>Brass Navigational Sector</x:v>
      </x:c>
      <x:c r="E252"/>
    </x:row>
    <x:row r="253">
      <x:c r="A253" s="54" t="str">
        <x:v>QAR-DIVIDERS</x:v>
      </x:c>
      <x:c r="B253" s="54" t="str">
        <x:v>PRT-0105</x:v>
      </x:c>
      <x:c r="C253" s="54" t="str">
        <x:v>SHARED</x:v>
      </x:c>
      <x:c r="D253" s="54" t="str">
        <x:v>Brass Dividers</x:v>
      </x:c>
      <x:c r="E253"/>
    </x:row>
    <x:row r="254">
      <x:c r="A254" s="54" t="str">
        <x:v>QAR-SANDGLASS-30</x:v>
      </x:c>
      <x:c r="B254" s="54" t="str">
        <x:v>PRT-0106</x:v>
      </x:c>
      <x:c r="C254" s="54" t="str">
        <x:v>SHARED</x:v>
      </x:c>
      <x:c r="D254" s="54" t="str">
        <x:v>Thirty-Minute Sandglass</x:v>
      </x:c>
      <x:c r="E254"/>
    </x:row>
    <x:row r="255">
      <x:c r="A255" s="54" t="str">
        <x:v>QAR-SANDGLASS-28S</x:v>
      </x:c>
      <x:c r="B255" s="54" t="str">
        <x:v>PRT-0107</x:v>
      </x:c>
      <x:c r="C255" s="54" t="str">
        <x:v>SHARED</x:v>
      </x:c>
      <x:c r="D255" s="54" t="str">
        <x:v>Twenty-Eight-Second Log Glass</x:v>
      </x:c>
      <x:c r="E255"/>
    </x:row>
    <x:row r="256">
      <x:c r="A256" s="54" t="str">
        <x:v>QAR-LOG-LINE</x:v>
      </x:c>
      <x:c r="B256" s="54" t="str">
        <x:v>ASM-0033</x:v>
      </x:c>
      <x:c r="C256" s="54" t="str">
        <x:v>SHARED</x:v>
      </x:c>
      <x:c r="D256" s="54" t="str">
        <x:v>Chip Log and Knotted Line</x:v>
      </x:c>
      <x:c r="E256"/>
    </x:row>
    <x:row r="257">
      <x:c r="A257" s="54" t="str">
        <x:v>QAR-TRAVERSE</x:v>
      </x:c>
      <x:c r="B257" s="54" t="str">
        <x:v>ASM-0034</x:v>
      </x:c>
      <x:c r="C257" s="54" t="str">
        <x:v>SHARED</x:v>
      </x:c>
      <x:c r="D257" s="54" t="str">
        <x:v>Traverse Board</x:v>
      </x:c>
      <x:c r="E257"/>
    </x:row>
    <x:row r="258">
      <x:c r="A258" s="54" t="str">
        <x:v>QAR-SPYGLASS</x:v>
      </x:c>
      <x:c r="B258" s="54" t="str">
        <x:v>PRT-0108</x:v>
      </x:c>
      <x:c r="C258" s="54" t="str">
        <x:v>SHARED</x:v>
      </x:c>
      <x:c r="D258" s="54" t="str">
        <x:v>Draw-Tube Spyglass</x:v>
      </x:c>
      <x:c r="E258"/>
    </x:row>
    <x:row r="259">
      <x:c r="A259" s="54" t="str">
        <x:v>QAR-CHART-CASE</x:v>
      </x:c>
      <x:c r="B259" s="54" t="str">
        <x:v>PKG-0006</x:v>
      </x:c>
      <x:c r="C259" s="54" t="str">
        <x:v>SHARED</x:v>
      </x:c>
      <x:c r="D259" s="54" t="str">
        <x:v>Waxed Chart Case</x:v>
      </x:c>
      <x:c r="E259"/>
    </x:row>
    <x:row r="260">
      <x:c r="A260" s="54" t="str">
        <x:v>QAR-CHART-COAST</x:v>
      </x:c>
      <x:c r="B260" s="54" t="str">
        <x:v>DOC-0001</x:v>
      </x:c>
      <x:c r="C260" s="54" t="str">
        <x:v>SHARED</x:v>
      </x:c>
      <x:c r="D260" s="54" t="str">
        <x:v>Carolina and Caribbean Coastal Chart Set</x:v>
      </x:c>
      <x:c r="E260"/>
    </x:row>
    <x:row r="261">
      <x:c r="A261" s="54" t="str">
        <x:v>QAR-SOUND-LEAD</x:v>
      </x:c>
      <x:c r="B261" s="54" t="str">
        <x:v>PRT-0109</x:v>
      </x:c>
      <x:c r="C261" s="54" t="str">
        <x:v>SHARED</x:v>
      </x:c>
      <x:c r="D261" s="54" t="str">
        <x:v>Sounding Lead</x:v>
      </x:c>
      <x:c r="E261"/>
    </x:row>
    <x:row r="262">
      <x:c r="A262" s="54" t="str">
        <x:v>QAR-SOUND-LINE</x:v>
      </x:c>
      <x:c r="B262" s="54" t="str">
        <x:v>PRT-0110</x:v>
      </x:c>
      <x:c r="C262" s="54" t="str">
        <x:v>SHARED</x:v>
      </x:c>
      <x:c r="D262" s="54" t="str">
        <x:v>Sounding Line, 100 fathoms</x:v>
      </x:c>
      <x:c r="E262"/>
    </x:row>
    <x:row r="263">
      <x:c r="A263" s="54" t="str">
        <x:v>QAR-SURVEY-SIGHT</x:v>
      </x:c>
      <x:c r="B263" s="54" t="str">
        <x:v>PRT-0111</x:v>
      </x:c>
      <x:c r="C263" s="54" t="str">
        <x:v>SHARED</x:v>
      </x:c>
      <x:c r="D263" s="54" t="str">
        <x:v>Brass Surveying Sight</x:v>
      </x:c>
      <x:c r="E263"/>
    </x:row>
    <x:row r="264">
      <x:c r="A264" s="54" t="str">
        <x:v>QAR-SIGNAL-FLAG</x:v>
      </x:c>
      <x:c r="B264" s="54" t="str">
        <x:v>KIT-0027</x:v>
      </x:c>
      <x:c r="C264" s="54" t="str">
        <x:v>SHARED</x:v>
      </x:c>
      <x:c r="D264" s="54" t="str">
        <x:v>Signal Flag Set</x:v>
      </x:c>
      <x:c r="E264"/>
    </x:row>
    <x:row r="265">
      <x:c r="A265" s="54" t="str">
        <x:v>QAR-ENSIGN</x:v>
      </x:c>
      <x:c r="B265" s="54" t="str">
        <x:v>QAR-0053</x:v>
      </x:c>
      <x:c r="C265" s="54" t="str">
        <x:v>SHIP-SPECIFIC</x:v>
      </x:c>
      <x:c r="D265" s="54" t="str">
        <x:v>Blackbeard Reconstruction Ensign</x:v>
      </x:c>
      <x:c r="E265"/>
    </x:row>
    <x:row r="266">
      <x:c r="A266" s="54" t="str">
        <x:v>QAR-DECK-LANTERN</x:v>
      </x:c>
      <x:c r="B266" s="54" t="str">
        <x:v>ASM-0035</x:v>
      </x:c>
      <x:c r="C266" s="54" t="str">
        <x:v>SHARED</x:v>
      </x:c>
      <x:c r="D266" s="54" t="str">
        <x:v>Enclosed Deck Lantern</x:v>
      </x:c>
      <x:c r="E266"/>
    </x:row>
    <x:row r="267">
      <x:c r="A267" s="54" t="str">
        <x:v>QAR-SIGNAL-GUN</x:v>
      </x:c>
      <x:c r="B267" s="54" t="str">
        <x:v>ASM-0036</x:v>
      </x:c>
      <x:c r="C267" s="54" t="str">
        <x:v>SHARED</x:v>
      </x:c>
      <x:c r="D267" s="54" t="str">
        <x:v>Small Signal Gun</x:v>
      </x:c>
      <x:c r="E267"/>
    </x:row>
    <x:row r="268">
      <x:c r="A268" s="54" t="str">
        <x:v>QAR-CARP-CHEST</x:v>
      </x:c>
      <x:c r="B268" s="54" t="str">
        <x:v>KIT-0028</x:v>
      </x:c>
      <x:c r="C268" s="54" t="str">
        <x:v>SHARED</x:v>
      </x:c>
      <x:c r="D268" s="54" t="str">
        <x:v>Carpenter's Tool Chest</x:v>
      </x:c>
      <x:c r="E268"/>
    </x:row>
    <x:row r="269">
      <x:c r="A269" s="54" t="str">
        <x:v>QAR-CAULK-CHEST</x:v>
      </x:c>
      <x:c r="B269" s="54" t="str">
        <x:v>KIT-0029</x:v>
      </x:c>
      <x:c r="C269" s="54" t="str">
        <x:v>SHARED</x:v>
      </x:c>
      <x:c r="D269" s="54" t="str">
        <x:v>Caulking and Sealing Chest</x:v>
      </x:c>
      <x:c r="E269"/>
    </x:row>
    <x:row r="270">
      <x:c r="A270" s="54" t="str">
        <x:v>QAR-HULL-EMERG</x:v>
      </x:c>
      <x:c r="B270" s="54" t="str">
        <x:v>KIT-0030</x:v>
      </x:c>
      <x:c r="C270" s="54" t="str">
        <x:v>SHARED</x:v>
      </x:c>
      <x:c r="D270" s="54" t="str">
        <x:v>Emergency Hull Patch Kit</x:v>
      </x:c>
      <x:c r="E270"/>
    </x:row>
    <x:row r="271">
      <x:c r="A271" s="54" t="str">
        <x:v>QAR-SPARE-TIMBER</x:v>
      </x:c>
      <x:c r="B271" s="54" t="str">
        <x:v>OFT-0017</x:v>
      </x:c>
      <x:c r="C271" s="54" t="str">
        <x:v>SHARED</x:v>
      </x:c>
      <x:c r="D271" s="54" t="str">
        <x:v>Spare Timber and Planking Lot</x:v>
      </x:c>
      <x:c r="E271"/>
    </x:row>
    <x:row r="272">
      <x:c r="A272" s="54" t="str">
        <x:v>QAR-AXE-BROAD</x:v>
      </x:c>
      <x:c r="B272" s="54" t="str">
        <x:v>PRT-0112</x:v>
      </x:c>
      <x:c r="C272" s="54" t="str">
        <x:v>SHARED</x:v>
      </x:c>
      <x:c r="D272" s="54" t="str">
        <x:v>Broad Axe</x:v>
      </x:c>
      <x:c r="E272"/>
    </x:row>
    <x:row r="273">
      <x:c r="A273" s="54" t="str">
        <x:v>QAR-ADZE</x:v>
      </x:c>
      <x:c r="B273" s="54" t="str">
        <x:v>PRT-0113</x:v>
      </x:c>
      <x:c r="C273" s="54" t="str">
        <x:v>SHARED</x:v>
      </x:c>
      <x:c r="D273" s="54" t="str">
        <x:v>Shipwright's Adze</x:v>
      </x:c>
      <x:c r="E273"/>
    </x:row>
    <x:row r="274">
      <x:c r="A274" s="54" t="str">
        <x:v>QAR-SAW-PIT</x:v>
      </x:c>
      <x:c r="B274" s="54" t="str">
        <x:v>PRT-0114</x:v>
      </x:c>
      <x:c r="C274" s="54" t="str">
        <x:v>SHARED</x:v>
      </x:c>
      <x:c r="D274" s="54" t="str">
        <x:v>Pit Saw</x:v>
      </x:c>
      <x:c r="E274"/>
    </x:row>
    <x:row r="275">
      <x:c r="A275" s="54" t="str">
        <x:v>QAR-SAW-HAND</x:v>
      </x:c>
      <x:c r="B275" s="54" t="str">
        <x:v>PRT-0115</x:v>
      </x:c>
      <x:c r="C275" s="54" t="str">
        <x:v>SHARED</x:v>
      </x:c>
      <x:c r="D275" s="54" t="str">
        <x:v>Carpenter's Hand Saw</x:v>
      </x:c>
      <x:c r="E275"/>
    </x:row>
    <x:row r="276">
      <x:c r="A276" s="54" t="str">
        <x:v>QAR-AUGER-SET</x:v>
      </x:c>
      <x:c r="B276" s="54" t="str">
        <x:v>KIT-0031</x:v>
      </x:c>
      <x:c r="C276" s="54" t="str">
        <x:v>SHARED</x:v>
      </x:c>
      <x:c r="D276" s="54" t="str">
        <x:v>Ship Auger Set</x:v>
      </x:c>
      <x:c r="E276"/>
    </x:row>
    <x:row r="277">
      <x:c r="A277" s="54" t="str">
        <x:v>QAR-CHISEL-SET</x:v>
      </x:c>
      <x:c r="B277" s="54" t="str">
        <x:v>KIT-0032</x:v>
      </x:c>
      <x:c r="C277" s="54" t="str">
        <x:v>SHARED</x:v>
      </x:c>
      <x:c r="D277" s="54" t="str">
        <x:v>Chisel and Gouge Set</x:v>
      </x:c>
      <x:c r="E277"/>
    </x:row>
    <x:row r="278">
      <x:c r="A278" s="54" t="str">
        <x:v>QAR-HAMMER-CLAW</x:v>
      </x:c>
      <x:c r="B278" s="54" t="str">
        <x:v>PRT-0116</x:v>
      </x:c>
      <x:c r="C278" s="54" t="str">
        <x:v>SHARED</x:v>
      </x:c>
      <x:c r="D278" s="54" t="str">
        <x:v>Claw Hammer</x:v>
      </x:c>
      <x:c r="E278"/>
    </x:row>
    <x:row r="279">
      <x:c r="A279" s="54" t="str">
        <x:v>QAR-MALLET-WOOD</x:v>
      </x:c>
      <x:c r="B279" s="54" t="str">
        <x:v>PRT-0117</x:v>
      </x:c>
      <x:c r="C279" s="54" t="str">
        <x:v>SHARED</x:v>
      </x:c>
      <x:c r="D279" s="54" t="str">
        <x:v>Large Wooden Mallet</x:v>
      </x:c>
      <x:c r="E279"/>
    </x:row>
    <x:row r="280">
      <x:c r="A280" s="54" t="str">
        <x:v>QAR-CROWBAR</x:v>
      </x:c>
      <x:c r="B280" s="54" t="str">
        <x:v>PRT-0118</x:v>
      </x:c>
      <x:c r="C280" s="54" t="str">
        <x:v>SHARED</x:v>
      </x:c>
      <x:c r="D280" s="54" t="str">
        <x:v>Iron Crowbar</x:v>
      </x:c>
      <x:c r="E280"/>
    </x:row>
    <x:row r="281">
      <x:c r="A281" s="54" t="str">
        <x:v>QAR-MECH-JACK</x:v>
      </x:c>
      <x:c r="B281" s="54" t="str">
        <x:v>ASM-0037</x:v>
      </x:c>
      <x:c r="C281" s="54" t="str">
        <x:v>SHARED</x:v>
      </x:c>
      <x:c r="D281" s="54" t="str">
        <x:v>Mechanical Jack</x:v>
      </x:c>
      <x:c r="E281"/>
    </x:row>
    <x:row r="282">
      <x:c r="A282" s="54" t="str">
        <x:v>QAR-GRINDSTONE</x:v>
      </x:c>
      <x:c r="B282" s="54" t="str">
        <x:v>ASM-0038</x:v>
      </x:c>
      <x:c r="C282" s="54" t="str">
        <x:v>SHARED</x:v>
      </x:c>
      <x:c r="D282" s="54" t="str">
        <x:v>Portable Grindstone Assembly</x:v>
      </x:c>
      <x:c r="E282"/>
    </x:row>
    <x:row r="283">
      <x:c r="A283" s="54" t="str">
        <x:v>QAR-CAULK-IRON</x:v>
      </x:c>
      <x:c r="B283" s="54" t="str">
        <x:v>PRT-0119</x:v>
      </x:c>
      <x:c r="C283" s="54" t="str">
        <x:v>SHARED</x:v>
      </x:c>
      <x:c r="D283" s="54" t="str">
        <x:v>Caulking Iron</x:v>
      </x:c>
      <x:c r="E283"/>
    </x:row>
    <x:row r="284">
      <x:c r="A284" s="54" t="str">
        <x:v>QAR-OAKUM-BALE</x:v>
      </x:c>
      <x:c r="B284" s="54" t="str">
        <x:v>MAT-0010</x:v>
      </x:c>
      <x:c r="C284" s="54" t="str">
        <x:v>SHARED</x:v>
      </x:c>
      <x:c r="D284" s="54" t="str">
        <x:v>Oakum Bale, 25 lb</x:v>
      </x:c>
      <x:c r="E284"/>
    </x:row>
    <x:row r="285">
      <x:c r="A285" s="54" t="str">
        <x:v>QAR-PITCH-KEG</x:v>
      </x:c>
      <x:c r="B285" s="54" t="str">
        <x:v>MAT-0011</x:v>
      </x:c>
      <x:c r="C285" s="54" t="str">
        <x:v>SHARED</x:v>
      </x:c>
      <x:c r="D285" s="54" t="str">
        <x:v>Pine Pitch Keg, 25 lb</x:v>
      </x:c>
      <x:c r="E285"/>
    </x:row>
    <x:row r="286">
      <x:c r="A286" s="54" t="str">
        <x:v>QAR-PATCH-PLANK</x:v>
      </x:c>
      <x:c r="B286" s="54" t="str">
        <x:v>PRT-0120</x:v>
      </x:c>
      <x:c r="C286" s="54" t="str">
        <x:v>SHARED</x:v>
      </x:c>
      <x:c r="D286" s="54" t="str">
        <x:v>Emergency Patch Plank</x:v>
      </x:c>
      <x:c r="E286"/>
    </x:row>
    <x:row r="287">
      <x:c r="A287" s="54" t="str">
        <x:v>QAR-PATCH-CANVAS</x:v>
      </x:c>
      <x:c r="B287" s="54" t="str">
        <x:v>PRT-0121</x:v>
      </x:c>
      <x:c r="C287" s="54" t="str">
        <x:v>SHARED</x:v>
      </x:c>
      <x:c r="D287" s="54" t="str">
        <x:v>Heavy Collision Canvas, 12 x 12 ft</x:v>
      </x:c>
      <x:c r="E287"/>
    </x:row>
    <x:row r="288">
      <x:c r="A288" s="54" t="str">
        <x:v>QAR-SPAR-OAK</x:v>
      </x:c>
      <x:c r="B288" s="54" t="str">
        <x:v>PRT-0122</x:v>
      </x:c>
      <x:c r="C288" s="54" t="str">
        <x:v>SHARED</x:v>
      </x:c>
      <x:c r="D288" s="54" t="str">
        <x:v>Spare Oak Spar Blank</x:v>
      </x:c>
      <x:c r="E288"/>
    </x:row>
    <x:row r="289">
      <x:c r="A289" s="54" t="str">
        <x:v>QAR-PLANK-OAK</x:v>
      </x:c>
      <x:c r="B289" s="54" t="str">
        <x:v>PRT-0123</x:v>
      </x:c>
      <x:c r="C289" s="54" t="str">
        <x:v>SHARED</x:v>
      </x:c>
      <x:c r="D289" s="54" t="str">
        <x:v>Spare Oak Plank</x:v>
      </x:c>
      <x:c r="E289"/>
    </x:row>
    <x:row r="290">
      <x:c r="A290" s="54" t="str">
        <x:v>QAR-SAIL-CHEST</x:v>
      </x:c>
      <x:c r="B290" s="54" t="str">
        <x:v>KIT-0033</x:v>
      </x:c>
      <x:c r="C290" s="54" t="str">
        <x:v>SHARED</x:v>
      </x:c>
      <x:c r="D290" s="54" t="str">
        <x:v>Sailmaker's Tool Chest</x:v>
      </x:c>
      <x:c r="E290"/>
    </x:row>
    <x:row r="291">
      <x:c r="A291" s="54" t="str">
        <x:v>QAR-RIG-REPAIR</x:v>
      </x:c>
      <x:c r="B291" s="54" t="str">
        <x:v>KIT-0034</x:v>
      </x:c>
      <x:c r="C291" s="54" t="str">
        <x:v>SHARED</x:v>
      </x:c>
      <x:c r="D291" s="54" t="str">
        <x:v>Rigging Repair Chest</x:v>
      </x:c>
      <x:c r="E291"/>
    </x:row>
    <x:row r="292">
      <x:c r="A292" s="54" t="str">
        <x:v>QAR-CANVAS-STOCK</x:v>
      </x:c>
      <x:c r="B292" s="54" t="str">
        <x:v>OFT-0018</x:v>
      </x:c>
      <x:c r="C292" s="54" t="str">
        <x:v>SHARED</x:v>
      </x:c>
      <x:c r="D292" s="54" t="str">
        <x:v>Spare Canvas Stock</x:v>
      </x:c>
      <x:c r="E292"/>
    </x:row>
    <x:row r="293">
      <x:c r="A293" s="54" t="str">
        <x:v>QAR-ROPE-STOCK</x:v>
      </x:c>
      <x:c r="B293" s="54" t="str">
        <x:v>OFT-0019</x:v>
      </x:c>
      <x:c r="C293" s="54" t="str">
        <x:v>SHARED</x:v>
      </x:c>
      <x:c r="D293" s="54" t="str">
        <x:v>Spare Cordage Stock</x:v>
      </x:c>
      <x:c r="E293"/>
    </x:row>
    <x:row r="294">
      <x:c r="A294" s="54" t="str">
        <x:v>QAR-SAIL-NEEDLE</x:v>
      </x:c>
      <x:c r="B294" s="54" t="str">
        <x:v>PRT-0124</x:v>
      </x:c>
      <x:c r="C294" s="54" t="str">
        <x:v>SHARED</x:v>
      </x:c>
      <x:c r="D294" s="54" t="str">
        <x:v>Large Sail Needle</x:v>
      </x:c>
      <x:c r="E294"/>
    </x:row>
    <x:row r="295">
      <x:c r="A295" s="54" t="str">
        <x:v>QAR-SAIL-PALM</x:v>
      </x:c>
      <x:c r="B295" s="54" t="str">
        <x:v>PRT-0125</x:v>
      </x:c>
      <x:c r="C295" s="54" t="str">
        <x:v>SHARED</x:v>
      </x:c>
      <x:c r="D295" s="54" t="str">
        <x:v>Sailmaker's Palm</x:v>
      </x:c>
      <x:c r="E295"/>
    </x:row>
    <x:row r="296">
      <x:c r="A296" s="54" t="str">
        <x:v>QAR-THREAD-SPOOL</x:v>
      </x:c>
      <x:c r="B296" s="54" t="str">
        <x:v>MAT-0012</x:v>
      </x:c>
      <x:c r="C296" s="54" t="str">
        <x:v>SHARED</x:v>
      </x:c>
      <x:c r="D296" s="54" t="str">
        <x:v>Waxed Sail Thread Spool</x:v>
      </x:c>
      <x:c r="E296"/>
    </x:row>
    <x:row r="297">
      <x:c r="A297" s="54" t="str">
        <x:v>QAR-FID-L</x:v>
      </x:c>
      <x:c r="B297" s="54" t="str">
        <x:v>PRT-0126</x:v>
      </x:c>
      <x:c r="C297" s="54" t="str">
        <x:v>SHARED</x:v>
      </x:c>
      <x:c r="D297" s="54" t="str">
        <x:v>Large Rigging Fid</x:v>
      </x:c>
      <x:c r="E297"/>
    </x:row>
    <x:row r="298">
      <x:c r="A298" s="54" t="str">
        <x:v>QAR-MARLINESPIKE</x:v>
      </x:c>
      <x:c r="B298" s="54" t="str">
        <x:v>PRT-0127</x:v>
      </x:c>
      <x:c r="C298" s="54" t="str">
        <x:v>SHARED</x:v>
      </x:c>
      <x:c r="D298" s="54" t="str">
        <x:v>Iron Marlinespike</x:v>
      </x:c>
      <x:c r="E298"/>
    </x:row>
    <x:row r="299">
      <x:c r="A299" s="54" t="str">
        <x:v>QAR-SEAM-RUBBER</x:v>
      </x:c>
      <x:c r="B299" s="54" t="str">
        <x:v>PRT-0128</x:v>
      </x:c>
      <x:c r="C299" s="54" t="str">
        <x:v>SHARED</x:v>
      </x:c>
      <x:c r="D299" s="54" t="str">
        <x:v>Wooden Seam Rubber</x:v>
      </x:c>
      <x:c r="E299"/>
    </x:row>
    <x:row r="300">
      <x:c r="A300" s="54" t="str">
        <x:v>QAR-CANVAS-BOLT</x:v>
      </x:c>
      <x:c r="B300" s="54" t="str">
        <x:v>MAT-0013</x:v>
      </x:c>
      <x:c r="C300" s="54" t="str">
        <x:v>SHARED</x:v>
      </x:c>
      <x:c r="D300" s="54" t="str">
        <x:v>Sail Canvas Bolt, 40 yd</x:v>
      </x:c>
      <x:c r="E300"/>
    </x:row>
    <x:row r="301">
      <x:c r="A301" s="54" t="str">
        <x:v>QAR-CANVAS-HEAVY</x:v>
      </x:c>
      <x:c r="B301" s="54" t="str">
        <x:v>MAT-0014</x:v>
      </x:c>
      <x:c r="C301" s="54" t="str">
        <x:v>SHARED</x:v>
      </x:c>
      <x:c r="D301" s="54" t="str">
        <x:v>Heavy Canvas Bolt, 30 yd</x:v>
      </x:c>
      <x:c r="E301"/>
    </x:row>
    <x:row r="302">
      <x:c r="A302" s="54" t="str">
        <x:v>QAR-TWINE-MARLINE</x:v>
      </x:c>
      <x:c r="B302" s="54" t="str">
        <x:v>MAT-0015</x:v>
      </x:c>
      <x:c r="C302" s="54" t="str">
        <x:v>SHARED</x:v>
      </x:c>
      <x:c r="D302" s="54" t="str">
        <x:v>Marline, 200 ft Coil</x:v>
      </x:c>
      <x:c r="E302"/>
    </x:row>
    <x:row r="303">
      <x:c r="A303" s="54" t="str">
        <x:v>QAR-ROPE-1IN</x:v>
      </x:c>
      <x:c r="B303" s="54" t="str">
        <x:v>MAT-0016</x:v>
      </x:c>
      <x:c r="C303" s="54" t="str">
        <x:v>SHARED</x:v>
      </x:c>
      <x:c r="D303" s="54" t="str">
        <x:v>One-Inch Rope, 200 ft Coil</x:v>
      </x:c>
      <x:c r="E303"/>
    </x:row>
    <x:row r="304">
      <x:c r="A304" s="54" t="str">
        <x:v>QAR-ROPE-2IN</x:v>
      </x:c>
      <x:c r="B304" s="54" t="str">
        <x:v>MAT-0017</x:v>
      </x:c>
      <x:c r="C304" s="54" t="str">
        <x:v>SHARED</x:v>
      </x:c>
      <x:c r="D304" s="54" t="str">
        <x:v>Two-Inch Rope, 200 ft Coil</x:v>
      </x:c>
      <x:c r="E304"/>
    </x:row>
    <x:row r="305">
      <x:c r="A305" s="54" t="str">
        <x:v>QAR-ROPE-3IN</x:v>
      </x:c>
      <x:c r="B305" s="54" t="str">
        <x:v>MAT-0018</x:v>
      </x:c>
      <x:c r="C305" s="54" t="str">
        <x:v>SHARED</x:v>
      </x:c>
      <x:c r="D305" s="54" t="str">
        <x:v>Three-Inch Rope, 200 ft Coil</x:v>
      </x:c>
      <x:c r="E305"/>
    </x:row>
    <x:row r="306">
      <x:c r="A306" s="54" t="str">
        <x:v>QAR-TAR-KEG</x:v>
      </x:c>
      <x:c r="B306" s="54" t="str">
        <x:v>MAT-0019</x:v>
      </x:c>
      <x:c r="C306" s="54" t="str">
        <x:v>SHARED</x:v>
      </x:c>
      <x:c r="D306" s="54" t="str">
        <x:v>Stockholm Tar Keg, 25 lb</x:v>
      </x:c>
      <x:c r="E306"/>
    </x:row>
    <x:row r="307">
      <x:c r="A307" s="54" t="str">
        <x:v>QAR-SURG-INSTR</x:v>
      </x:c>
      <x:c r="B307" s="54" t="str">
        <x:v>KIT-0035</x:v>
      </x:c>
      <x:c r="C307" s="54" t="str">
        <x:v>SHARED</x:v>
      </x:c>
      <x:c r="D307" s="54" t="str">
        <x:v>Surgeon's Instrument Chest</x:v>
      </x:c>
      <x:c r="E307"/>
    </x:row>
    <x:row r="308">
      <x:c r="A308" s="54" t="str">
        <x:v>QAR-MED-CHEST</x:v>
      </x:c>
      <x:c r="B308" s="54" t="str">
        <x:v>KIT-0036</x:v>
      </x:c>
      <x:c r="C308" s="54" t="str">
        <x:v>SHARED</x:v>
      </x:c>
      <x:c r="D308" s="54" t="str">
        <x:v>Medicines and Preparations Chest</x:v>
      </x:c>
      <x:c r="E308"/>
    </x:row>
    <x:row r="309">
      <x:c r="A309" s="54" t="str">
        <x:v>QAR-DRESS-CHEST</x:v>
      </x:c>
      <x:c r="B309" s="54" t="str">
        <x:v>KIT-0037</x:v>
      </x:c>
      <x:c r="C309" s="54" t="str">
        <x:v>SHARED</x:v>
      </x:c>
      <x:c r="D309" s="54" t="str">
        <x:v>Bandage and Dressing Chest</x:v>
      </x:c>
      <x:c r="E309"/>
    </x:row>
    <x:row r="310">
      <x:c r="A310" s="54" t="str">
        <x:v>QAR-SICK-BAY</x:v>
      </x:c>
      <x:c r="B310" s="54" t="str">
        <x:v>OFT-0020</x:v>
      </x:c>
      <x:c r="C310" s="54" t="str">
        <x:v>SHARED</x:v>
      </x:c>
      <x:c r="D310" s="54" t="str">
        <x:v>Sick-Bay Berthing Outfit</x:v>
      </x:c>
      <x:c r="E310"/>
    </x:row>
    <x:row r="311">
      <x:c r="A311" s="54" t="str">
        <x:v>QAR-MORTAR</x:v>
      </x:c>
      <x:c r="B311" s="54" t="str">
        <x:v>ASM-0039</x:v>
      </x:c>
      <x:c r="C311" s="54" t="str">
        <x:v>SHARED</x:v>
      </x:c>
      <x:c r="D311" s="54" t="str">
        <x:v>Mortar and Pestle</x:v>
      </x:c>
      <x:c r="E311"/>
    </x:row>
    <x:row r="312">
      <x:c r="A312" s="54" t="str">
        <x:v>QAR-SYRINGE</x:v>
      </x:c>
      <x:c r="B312" s="54" t="str">
        <x:v>PRT-0129</x:v>
      </x:c>
      <x:c r="C312" s="54" t="str">
        <x:v>SHARED</x:v>
      </x:c>
      <x:c r="D312" s="54" t="str">
        <x:v>Pewter Urethral Syringe</x:v>
      </x:c>
      <x:c r="E312"/>
    </x:row>
    <x:row r="313">
      <x:c r="A313" s="54" t="str">
        <x:v>QAR-BONE-SAW</x:v>
      </x:c>
      <x:c r="B313" s="54" t="str">
        <x:v>PRT-0130</x:v>
      </x:c>
      <x:c r="C313" s="54" t="str">
        <x:v>SHARED</x:v>
      </x:c>
      <x:c r="D313" s="54" t="str">
        <x:v>Surgeon's Bone Saw</x:v>
      </x:c>
      <x:c r="E313"/>
    </x:row>
    <x:row r="314">
      <x:c r="A314" s="54" t="str">
        <x:v>QAR-LANCET-SET</x:v>
      </x:c>
      <x:c r="B314" s="54" t="str">
        <x:v>KIT-0038</x:v>
      </x:c>
      <x:c r="C314" s="54" t="str">
        <x:v>SHARED</x:v>
      </x:c>
      <x:c r="D314" s="54" t="str">
        <x:v>Lancet Set</x:v>
      </x:c>
      <x:c r="E314"/>
    </x:row>
    <x:row r="315">
      <x:c r="A315" s="54" t="str">
        <x:v>QAR-FORCEPS</x:v>
      </x:c>
      <x:c r="B315" s="54" t="str">
        <x:v>PRT-0131</x:v>
      </x:c>
      <x:c r="C315" s="54" t="str">
        <x:v>SHARED</x:v>
      </x:c>
      <x:c r="D315" s="54" t="str">
        <x:v>Surgical Forceps</x:v>
      </x:c>
      <x:c r="E315"/>
    </x:row>
    <x:row r="316">
      <x:c r="A316" s="54" t="str">
        <x:v>QAR-PROBES</x:v>
      </x:c>
      <x:c r="B316" s="54" t="str">
        <x:v>KIT-0039</x:v>
      </x:c>
      <x:c r="C316" s="54" t="str">
        <x:v>SHARED</x:v>
      </x:c>
      <x:c r="D316" s="54" t="str">
        <x:v>Probe and Director Set</x:v>
      </x:c>
      <x:c r="E316"/>
    </x:row>
    <x:row r="317">
      <x:c r="A317" s="54" t="str">
        <x:v>QAR-SPLINT</x:v>
      </x:c>
      <x:c r="B317" s="54" t="str">
        <x:v>PRT-0132</x:v>
      </x:c>
      <x:c r="C317" s="54" t="str">
        <x:v>SHARED</x:v>
      </x:c>
      <x:c r="D317" s="54" t="str">
        <x:v>Wooden Limb Splint</x:v>
      </x:c>
      <x:c r="E317"/>
    </x:row>
    <x:row r="318">
      <x:c r="A318" s="54" t="str">
        <x:v>QAR-BANDAGE-ROLL</x:v>
      </x:c>
      <x:c r="B318" s="54" t="str">
        <x:v>MAT-0020</x:v>
      </x:c>
      <x:c r="C318" s="54" t="str">
        <x:v>SHARED</x:v>
      </x:c>
      <x:c r="D318" s="54" t="str">
        <x:v>Linen Bandage Roll</x:v>
      </x:c>
      <x:c r="E318"/>
    </x:row>
    <x:row r="319">
      <x:c r="A319" s="54" t="str">
        <x:v>QAR-LINT-PACK</x:v>
      </x:c>
      <x:c r="B319" s="54" t="str">
        <x:v>MAT-0021</x:v>
      </x:c>
      <x:c r="C319" s="54" t="str">
        <x:v>SHARED</x:v>
      </x:c>
      <x:c r="D319" s="54" t="str">
        <x:v>Linen Lint Pack</x:v>
      </x:c>
      <x:c r="E319"/>
    </x:row>
    <x:row r="320">
      <x:c r="A320" s="54" t="str">
        <x:v>QAR-TOURNIQUET</x:v>
      </x:c>
      <x:c r="B320" s="54" t="str">
        <x:v>PRT-0133</x:v>
      </x:c>
      <x:c r="C320" s="54" t="str">
        <x:v>SHARED</x:v>
      </x:c>
      <x:c r="D320" s="54" t="str">
        <x:v>Canvas Tourniquet</x:v>
      </x:c>
      <x:c r="E320"/>
    </x:row>
    <x:row r="321">
      <x:c r="A321" s="54" t="str">
        <x:v>QAR-MED-BOTTLE</x:v>
      </x:c>
      <x:c r="B321" s="54" t="str">
        <x:v>PKG-0007</x:v>
      </x:c>
      <x:c r="C321" s="54" t="str">
        <x:v>SHARED</x:v>
      </x:c>
      <x:c r="D321" s="54" t="str">
        <x:v>Stoppered Medicine Bottle</x:v>
      </x:c>
      <x:c r="E321"/>
    </x:row>
    <x:row r="322">
      <x:c r="A322" s="54" t="str">
        <x:v>QAR-MED-JAR</x:v>
      </x:c>
      <x:c r="B322" s="54" t="str">
        <x:v>PKG-0008</x:v>
      </x:c>
      <x:c r="C322" s="54" t="str">
        <x:v>SHARED</x:v>
      </x:c>
      <x:c r="D322" s="54" t="str">
        <x:v>Glazed Ointment Jar</x:v>
      </x:c>
      <x:c r="E322"/>
    </x:row>
    <x:row r="323">
      <x:c r="A323" s="54" t="str">
        <x:v>QAR-LAUDANUM</x:v>
      </x:c>
      <x:c r="B323" s="54" t="str">
        <x:v>MAT-0022</x:v>
      </x:c>
      <x:c r="C323" s="54" t="str">
        <x:v>SHARED</x:v>
      </x:c>
      <x:c r="D323" s="54" t="str">
        <x:v>Laudanum Bottle</x:v>
      </x:c>
      <x:c r="E323"/>
    </x:row>
    <x:row r="324">
      <x:c r="A324" s="54" t="str">
        <x:v>QAR-PERUVIAN</x:v>
      </x:c>
      <x:c r="B324" s="54" t="str">
        <x:v>MAT-0023</x:v>
      </x:c>
      <x:c r="C324" s="54" t="str">
        <x:v>SHARED</x:v>
      </x:c>
      <x:c r="D324" s="54" t="str">
        <x:v>Peruvian Bark Jar</x:v>
      </x:c>
      <x:c r="E324"/>
    </x:row>
    <x:row r="325">
      <x:c r="A325" s="54" t="str">
        <x:v>QAR-MERCURY</x:v>
      </x:c>
      <x:c r="B325" s="54" t="str">
        <x:v>MAT-0024</x:v>
      </x:c>
      <x:c r="C325" s="54" t="str">
        <x:v>SHARED</x:v>
      </x:c>
      <x:c r="D325" s="54" t="str">
        <x:v>Mercury Preparation Jar</x:v>
      </x:c>
      <x:c r="E325"/>
    </x:row>
    <x:row r="326">
      <x:c r="A326" s="54" t="str">
        <x:v>QAR-VINEGAR-MED</x:v>
      </x:c>
      <x:c r="B326" s="54" t="str">
        <x:v>MAT-0025</x:v>
      </x:c>
      <x:c r="C326" s="54" t="str">
        <x:v>SHARED</x:v>
      </x:c>
      <x:c r="D326" s="54" t="str">
        <x:v>Medicinal Vinegar Bottle</x:v>
      </x:c>
      <x:c r="E326"/>
    </x:row>
    <x:row r="327">
      <x:c r="A327" s="54" t="str">
        <x:v>QAR-HAMMOCK-SICK</x:v>
      </x:c>
      <x:c r="B327" s="54" t="str">
        <x:v>ASM-0040</x:v>
      </x:c>
      <x:c r="C327" s="54" t="str">
        <x:v>SHARED</x:v>
      </x:c>
      <x:c r="D327" s="54" t="str">
        <x:v>Sick-Bay Hammock</x:v>
      </x:c>
      <x:c r="E327"/>
    </x:row>
    <x:row r="328">
      <x:c r="A328" s="54" t="str">
        <x:v>QAR-BLANKET-SICK</x:v>
      </x:c>
      <x:c r="B328" s="54" t="str">
        <x:v>PRT-0134</x:v>
      </x:c>
      <x:c r="C328" s="54" t="str">
        <x:v>SHARED</x:v>
      </x:c>
      <x:c r="D328" s="54" t="str">
        <x:v>Sick-Bay Wool Blanket</x:v>
      </x:c>
      <x:c r="E328"/>
    </x:row>
    <x:row r="329">
      <x:c r="A329" s="54" t="str">
        <x:v>QAR-LBL-MED</x:v>
      </x:c>
      <x:c r="B329" s="54" t="str">
        <x:v>LBL-0006</x:v>
      </x:c>
      <x:c r="C329" s="54" t="str">
        <x:v>SHARED</x:v>
      </x:c>
      <x:c r="D329" s="54" t="str">
        <x:v>Safety Label - Medical Chest / Controlled Access</x:v>
      </x:c>
      <x:c r="E329"/>
    </x:row>
    <x:row r="330">
      <x:c r="A330" s="54" t="str">
        <x:v>QAR-GALLEY-HEARTH</x:v>
      </x:c>
      <x:c r="B330" s="54" t="str">
        <x:v>ASM-0041</x:v>
      </x:c>
      <x:c r="C330" s="54" t="str">
        <x:v>SHARED</x:v>
      </x:c>
      <x:c r="D330" s="54" t="str">
        <x:v>Brick and Iron Galley Hearth</x:v>
      </x:c>
      <x:c r="E330"/>
    </x:row>
    <x:row r="331">
      <x:c r="A331" s="54" t="str">
        <x:v>QAR-COOKWARE</x:v>
      </x:c>
      <x:c r="B331" s="54" t="str">
        <x:v>OFT-0021</x:v>
      </x:c>
      <x:c r="C331" s="54" t="str">
        <x:v>SHARED</x:v>
      </x:c>
      <x:c r="D331" s="54" t="str">
        <x:v>Galley Cookware Outfit</x:v>
      </x:c>
      <x:c r="E331"/>
    </x:row>
    <x:row r="332">
      <x:c r="A332" s="54" t="str">
        <x:v>QAR-MESS-COMMON</x:v>
      </x:c>
      <x:c r="B332" s="54" t="str">
        <x:v>KIT-0040</x:v>
      </x:c>
      <x:c r="C332" s="54" t="str">
        <x:v>SHARED</x:v>
      </x:c>
      <x:c r="D332" s="54" t="str">
        <x:v>Six-Person Common Mess Kit</x:v>
      </x:c>
      <x:c r="E332"/>
    </x:row>
    <x:row r="333">
      <x:c r="A333" s="54" t="str">
        <x:v>QAR-MESS-OFFICER</x:v>
      </x:c>
      <x:c r="B333" s="54" t="str">
        <x:v>KIT-0041</x:v>
      </x:c>
      <x:c r="C333" s="54" t="str">
        <x:v>SHARED</x:v>
      </x:c>
      <x:c r="D333" s="54" t="str">
        <x:v>Six-Person Officer Mess Kit</x:v>
      </x:c>
      <x:c r="E333"/>
    </x:row>
    <x:row r="334">
      <x:c r="A334" s="54" t="str">
        <x:v>QAR-WATER-SERVE</x:v>
      </x:c>
      <x:c r="B334" s="54" t="str">
        <x:v>OFT-0022</x:v>
      </x:c>
      <x:c r="C334" s="54" t="str">
        <x:v>SHARED</x:v>
      </x:c>
      <x:c r="D334" s="54" t="str">
        <x:v>Drinking Water Service Outfit</x:v>
      </x:c>
      <x:c r="E334"/>
    </x:row>
    <x:row r="335">
      <x:c r="A335" s="54" t="str">
        <x:v>QAR-CAULDRON-L</x:v>
      </x:c>
      <x:c r="B335" s="54" t="str">
        <x:v>PRT-0135</x:v>
      </x:c>
      <x:c r="C335" s="54" t="str">
        <x:v>SHARED</x:v>
      </x:c>
      <x:c r="D335" s="54" t="str">
        <x:v>Large Iron Cauldron</x:v>
      </x:c>
      <x:c r="E335"/>
    </x:row>
    <x:row r="336">
      <x:c r="A336" s="54" t="str">
        <x:v>QAR-KETTLE</x:v>
      </x:c>
      <x:c r="B336" s="54" t="str">
        <x:v>PRT-0136</x:v>
      </x:c>
      <x:c r="C336" s="54" t="str">
        <x:v>SHARED</x:v>
      </x:c>
      <x:c r="D336" s="54" t="str">
        <x:v>Copper Kettle</x:v>
      </x:c>
      <x:c r="E336"/>
    </x:row>
    <x:row r="337">
      <x:c r="A337" s="54" t="str">
        <x:v>QAR-POT-COPPER</x:v>
      </x:c>
      <x:c r="B337" s="54" t="str">
        <x:v>PRT-0137</x:v>
      </x:c>
      <x:c r="C337" s="54" t="str">
        <x:v>SHARED</x:v>
      </x:c>
      <x:c r="D337" s="54" t="str">
        <x:v>Copper Cooking Pot</x:v>
      </x:c>
      <x:c r="E337"/>
    </x:row>
    <x:row r="338">
      <x:c r="A338" s="54" t="str">
        <x:v>QAR-PAN-IRON</x:v>
      </x:c>
      <x:c r="B338" s="54" t="str">
        <x:v>PRT-0138</x:v>
      </x:c>
      <x:c r="C338" s="54" t="str">
        <x:v>SHARED</x:v>
      </x:c>
      <x:c r="D338" s="54" t="str">
        <x:v>Iron Frying Pan</x:v>
      </x:c>
      <x:c r="E338"/>
    </x:row>
    <x:row r="339">
      <x:c r="A339" s="54" t="str">
        <x:v>QAR-LADLE</x:v>
      </x:c>
      <x:c r="B339" s="54" t="str">
        <x:v>PRT-0139</x:v>
      </x:c>
      <x:c r="C339" s="54" t="str">
        <x:v>SHARED</x:v>
      </x:c>
      <x:c r="D339" s="54" t="str">
        <x:v>Long-Handled Galley Ladle</x:v>
      </x:c>
      <x:c r="E339"/>
    </x:row>
    <x:row r="340">
      <x:c r="A340" s="54" t="str">
        <x:v>QAR-KNIFE-COOK</x:v>
      </x:c>
      <x:c r="B340" s="54" t="str">
        <x:v>PRT-0140</x:v>
      </x:c>
      <x:c r="C340" s="54" t="str">
        <x:v>SHARED</x:v>
      </x:c>
      <x:c r="D340" s="54" t="str">
        <x:v>Cook's Knife</x:v>
      </x:c>
      <x:c r="E340"/>
    </x:row>
    <x:row r="341">
      <x:c r="A341" s="54" t="str">
        <x:v>QAR-CLEAVER</x:v>
      </x:c>
      <x:c r="B341" s="54" t="str">
        <x:v>PRT-0141</x:v>
      </x:c>
      <x:c r="C341" s="54" t="str">
        <x:v>SHARED</x:v>
      </x:c>
      <x:c r="D341" s="54" t="str">
        <x:v>Galley Cleaver</x:v>
      </x:c>
      <x:c r="E341"/>
    </x:row>
    <x:row r="342">
      <x:c r="A342" s="54" t="str">
        <x:v>QAR-PLATE-PEWTER</x:v>
      </x:c>
      <x:c r="B342" s="54" t="str">
        <x:v>PRT-0142</x:v>
      </x:c>
      <x:c r="C342" s="54" t="str">
        <x:v>SHARED</x:v>
      </x:c>
      <x:c r="D342" s="54" t="str">
        <x:v>Pewter Plate</x:v>
      </x:c>
      <x:c r="E342"/>
    </x:row>
    <x:row r="343">
      <x:c r="A343" s="54" t="str">
        <x:v>QAR-BOWL-PEWTER</x:v>
      </x:c>
      <x:c r="B343" s="54" t="str">
        <x:v>PRT-0143</x:v>
      </x:c>
      <x:c r="C343" s="54" t="str">
        <x:v>SHARED</x:v>
      </x:c>
      <x:c r="D343" s="54" t="str">
        <x:v>Pewter Bowl</x:v>
      </x:c>
      <x:c r="E343"/>
    </x:row>
    <x:row r="344">
      <x:c r="A344" s="54" t="str">
        <x:v>QAR-SPOON-PEWTER</x:v>
      </x:c>
      <x:c r="B344" s="54" t="str">
        <x:v>PRT-0144</x:v>
      </x:c>
      <x:c r="C344" s="54" t="str">
        <x:v>SHARED</x:v>
      </x:c>
      <x:c r="D344" s="54" t="str">
        <x:v>Pewter Spoon</x:v>
      </x:c>
      <x:c r="E344"/>
    </x:row>
    <x:row r="345">
      <x:c r="A345" s="54" t="str">
        <x:v>QAR-MUG-WOOD</x:v>
      </x:c>
      <x:c r="B345" s="54" t="str">
        <x:v>PRT-0145</x:v>
      </x:c>
      <x:c r="C345" s="54" t="str">
        <x:v>SHARED</x:v>
      </x:c>
      <x:c r="D345" s="54" t="str">
        <x:v>Wooden Drinking Mug</x:v>
      </x:c>
      <x:c r="E345"/>
    </x:row>
    <x:row r="346">
      <x:c r="A346" s="54" t="str">
        <x:v>QAR-KNIFE-MESS</x:v>
      </x:c>
      <x:c r="B346" s="54" t="str">
        <x:v>PRT-0146</x:v>
      </x:c>
      <x:c r="C346" s="54" t="str">
        <x:v>SHARED</x:v>
      </x:c>
      <x:c r="D346" s="54" t="str">
        <x:v>Common Mess Knife</x:v>
      </x:c>
      <x:c r="E346"/>
    </x:row>
    <x:row r="347">
      <x:c r="A347" s="54" t="str">
        <x:v>QAR-CHARGER-PEWTER</x:v>
      </x:c>
      <x:c r="B347" s="54" t="str">
        <x:v>PRT-0147</x:v>
      </x:c>
      <x:c r="C347" s="54" t="str">
        <x:v>SHARED</x:v>
      </x:c>
      <x:c r="D347" s="54" t="str">
        <x:v>Large Pewter Charger</x:v>
      </x:c>
      <x:c r="E347"/>
    </x:row>
    <x:row r="348">
      <x:c r="A348" s="54" t="str">
        <x:v>QAR-WINE-GLASS</x:v>
      </x:c>
      <x:c r="B348" s="54" t="str">
        <x:v>PRT-0148</x:v>
      </x:c>
      <x:c r="C348" s="54" t="str">
        <x:v>SHARED</x:v>
      </x:c>
      <x:c r="D348" s="54" t="str">
        <x:v>Officer's Wine Glass</x:v>
      </x:c>
      <x:c r="E348"/>
    </x:row>
    <x:row r="349">
      <x:c r="A349" s="54" t="str">
        <x:v>QAR-WATER-DIPPER</x:v>
      </x:c>
      <x:c r="B349" s="54" t="str">
        <x:v>PRT-0149</x:v>
      </x:c>
      <x:c r="C349" s="54" t="str">
        <x:v>SHARED</x:v>
      </x:c>
      <x:c r="D349" s="54" t="str">
        <x:v>Water Cask Dipper</x:v>
      </x:c>
      <x:c r="E349"/>
    </x:row>
    <x:row r="350">
      <x:c r="A350" s="54" t="str">
        <x:v>QAR-WATER-BUCKET</x:v>
      </x:c>
      <x:c r="B350" s="54" t="str">
        <x:v>PRT-0150</x:v>
      </x:c>
      <x:c r="C350" s="54" t="str">
        <x:v>SHARED</x:v>
      </x:c>
      <x:c r="D350" s="54" t="str">
        <x:v>Drinking Water Bucket</x:v>
      </x:c>
      <x:c r="E350"/>
    </x:row>
    <x:row r="351">
      <x:c r="A351" s="54" t="str">
        <x:v>QAR-CASK-50G</x:v>
      </x:c>
      <x:c r="B351" s="54" t="str">
        <x:v>PKG-0009</x:v>
      </x:c>
      <x:c r="C351" s="54" t="str">
        <x:v>SHARED</x:v>
      </x:c>
      <x:c r="D351" s="54" t="str">
        <x:v>Oak Cask, 50 gal Capacity</x:v>
      </x:c>
      <x:c r="E351"/>
    </x:row>
    <x:row r="352">
      <x:c r="A352" s="54" t="str">
        <x:v>QAR-BARREL-200</x:v>
      </x:c>
      <x:c r="B352" s="54" t="str">
        <x:v>PKG-0010</x:v>
      </x:c>
      <x:c r="C352" s="54" t="str">
        <x:v>SHARED</x:v>
      </x:c>
      <x:c r="D352" s="54" t="str">
        <x:v>Oak Provision Barrel, 200 lb Capacity</x:v>
      </x:c>
      <x:c r="E352"/>
    </x:row>
    <x:row r="353">
      <x:c r="A353" s="54" t="str">
        <x:v>QAR-CASK-25G</x:v>
      </x:c>
      <x:c r="B353" s="54" t="str">
        <x:v>PKG-0011</x:v>
      </x:c>
      <x:c r="C353" s="54" t="str">
        <x:v>SHARED</x:v>
      </x:c>
      <x:c r="D353" s="54" t="str">
        <x:v>Oak Cask, 25 gal Capacity</x:v>
      </x:c>
      <x:c r="E353"/>
    </x:row>
    <x:row r="354">
      <x:c r="A354" s="54" t="str">
        <x:v>QAR-SACK-50</x:v>
      </x:c>
      <x:c r="B354" s="54" t="str">
        <x:v>PKG-0012</x:v>
      </x:c>
      <x:c r="C354" s="54" t="str">
        <x:v>SHARED</x:v>
      </x:c>
      <x:c r="D354" s="54" t="str">
        <x:v>Waxed Provision Sack, 50 lb</x:v>
      </x:c>
      <x:c r="E354"/>
    </x:row>
    <x:row r="355">
      <x:c r="A355" s="54" t="str">
        <x:v>QAR-CRATE-50</x:v>
      </x:c>
      <x:c r="B355" s="54" t="str">
        <x:v>PKG-0013</x:v>
      </x:c>
      <x:c r="C355" s="54" t="str">
        <x:v>SHARED</x:v>
      </x:c>
      <x:c r="D355" s="54" t="str">
        <x:v>Provision Crate, 50 lb</x:v>
      </x:c>
      <x:c r="E355"/>
    </x:row>
    <x:row r="356">
      <x:c r="A356" s="54" t="str">
        <x:v>QAR-FIRKIN-25</x:v>
      </x:c>
      <x:c r="B356" s="54" t="str">
        <x:v>PKG-0014</x:v>
      </x:c>
      <x:c r="C356" s="54" t="str">
        <x:v>SHARED</x:v>
      </x:c>
      <x:c r="D356" s="54" t="str">
        <x:v>Butter Firkin, 25 lb Capacity</x:v>
      </x:c>
      <x:c r="E356"/>
    </x:row>
    <x:row r="357">
      <x:c r="A357" s="54" t="str">
        <x:v>QAR-WATER-GAL</x:v>
      </x:c>
      <x:c r="B357" s="54" t="str">
        <x:v>MAT-0026</x:v>
      </x:c>
      <x:c r="C357" s="54" t="str">
        <x:v>SHARED</x:v>
      </x:c>
      <x:c r="D357" s="54" t="str">
        <x:v>Potable Water, Gallon</x:v>
      </x:c>
      <x:c r="E357"/>
    </x:row>
    <x:row r="358">
      <x:c r="A358" s="54" t="str">
        <x:v>QAR-RUM-GAL</x:v>
      </x:c>
      <x:c r="B358" s="54" t="str">
        <x:v>MAT-0027</x:v>
      </x:c>
      <x:c r="C358" s="54" t="str">
        <x:v>SHARED</x:v>
      </x:c>
      <x:c r="D358" s="54" t="str">
        <x:v>Caribbean Rum, Gallon</x:v>
      </x:c>
      <x:c r="E358"/>
    </x:row>
    <x:row r="359">
      <x:c r="A359" s="54" t="str">
        <x:v>QAR-VINEGAR-GAL</x:v>
      </x:c>
      <x:c r="B359" s="54" t="str">
        <x:v>MAT-0028</x:v>
      </x:c>
      <x:c r="C359" s="54" t="str">
        <x:v>SHARED</x:v>
      </x:c>
      <x:c r="D359" s="54" t="str">
        <x:v>Vinegar, Gallon</x:v>
      </x:c>
      <x:c r="E359"/>
    </x:row>
    <x:row r="360">
      <x:c r="A360" s="54" t="str">
        <x:v>QAR-BISCUIT-LB</x:v>
      </x:c>
      <x:c r="B360" s="54" t="str">
        <x:v>MAT-0029</x:v>
      </x:c>
      <x:c r="C360" s="54" t="str">
        <x:v>SHARED</x:v>
      </x:c>
      <x:c r="D360" s="54" t="str">
        <x:v>Ship's Biscuit, Pound</x:v>
      </x:c>
      <x:c r="E360"/>
    </x:row>
    <x:row r="361">
      <x:c r="A361" s="54" t="str">
        <x:v>QAR-BEEF-LB</x:v>
      </x:c>
      <x:c r="B361" s="54" t="str">
        <x:v>MAT-0030</x:v>
      </x:c>
      <x:c r="C361" s="54" t="str">
        <x:v>SHARED</x:v>
      </x:c>
      <x:c r="D361" s="54" t="str">
        <x:v>Salt Beef, Pound</x:v>
      </x:c>
      <x:c r="E361"/>
    </x:row>
    <x:row r="362">
      <x:c r="A362" s="54" t="str">
        <x:v>QAR-PORK-LB</x:v>
      </x:c>
      <x:c r="B362" s="54" t="str">
        <x:v>MAT-0031</x:v>
      </x:c>
      <x:c r="C362" s="54" t="str">
        <x:v>SHARED</x:v>
      </x:c>
      <x:c r="D362" s="54" t="str">
        <x:v>Salt Pork, Pound</x:v>
      </x:c>
      <x:c r="E362"/>
    </x:row>
    <x:row r="363">
      <x:c r="A363" s="54" t="str">
        <x:v>QAR-FISH-LB</x:v>
      </x:c>
      <x:c r="B363" s="54" t="str">
        <x:v>MAT-0032</x:v>
      </x:c>
      <x:c r="C363" s="54" t="str">
        <x:v>SHARED</x:v>
      </x:c>
      <x:c r="D363" s="54" t="str">
        <x:v>Dried Fish, Pound</x:v>
      </x:c>
      <x:c r="E363"/>
    </x:row>
    <x:row r="364">
      <x:c r="A364" s="54" t="str">
        <x:v>QAR-PEAS-LB</x:v>
      </x:c>
      <x:c r="B364" s="54" t="str">
        <x:v>MAT-0033</x:v>
      </x:c>
      <x:c r="C364" s="54" t="str">
        <x:v>SHARED</x:v>
      </x:c>
      <x:c r="D364" s="54" t="str">
        <x:v>Dried Peas, Pound</x:v>
      </x:c>
      <x:c r="E364"/>
    </x:row>
    <x:row r="365">
      <x:c r="A365" s="54" t="str">
        <x:v>QAR-OATMEAL-LB</x:v>
      </x:c>
      <x:c r="B365" s="54" t="str">
        <x:v>MAT-0034</x:v>
      </x:c>
      <x:c r="C365" s="54" t="str">
        <x:v>SHARED</x:v>
      </x:c>
      <x:c r="D365" s="54" t="str">
        <x:v>Oatmeal, Pound</x:v>
      </x:c>
      <x:c r="E365"/>
    </x:row>
    <x:row r="366">
      <x:c r="A366" s="54" t="str">
        <x:v>QAR-CHEESE-LB</x:v>
      </x:c>
      <x:c r="B366" s="54" t="str">
        <x:v>MAT-0035</x:v>
      </x:c>
      <x:c r="C366" s="54" t="str">
        <x:v>SHARED</x:v>
      </x:c>
      <x:c r="D366" s="54" t="str">
        <x:v>Hard Cheese, Pound</x:v>
      </x:c>
      <x:c r="E366"/>
    </x:row>
    <x:row r="367">
      <x:c r="A367" s="54" t="str">
        <x:v>QAR-BUTTER-LB</x:v>
      </x:c>
      <x:c r="B367" s="54" t="str">
        <x:v>MAT-0036</x:v>
      </x:c>
      <x:c r="C367" s="54" t="str">
        <x:v>SHARED</x:v>
      </x:c>
      <x:c r="D367" s="54" t="str">
        <x:v>Salt Butter, Pound</x:v>
      </x:c>
      <x:c r="E367"/>
    </x:row>
    <x:row r="368">
      <x:c r="A368" s="54" t="str">
        <x:v>QAR-SALT-LB</x:v>
      </x:c>
      <x:c r="B368" s="54" t="str">
        <x:v>MAT-0037</x:v>
      </x:c>
      <x:c r="C368" s="54" t="str">
        <x:v>SHARED</x:v>
      </x:c>
      <x:c r="D368" s="54" t="str">
        <x:v>Sea Salt, Pound</x:v>
      </x:c>
      <x:c r="E368"/>
    </x:row>
    <x:row r="369">
      <x:c r="A369" s="54" t="str">
        <x:v>QAR-OIL-GAL</x:v>
      </x:c>
      <x:c r="B369" s="54" t="str">
        <x:v>MAT-0038</x:v>
      </x:c>
      <x:c r="C369" s="54" t="str">
        <x:v>SHARED</x:v>
      </x:c>
      <x:c r="D369" s="54" t="str">
        <x:v>Cooking Oil, Gallon</x:v>
      </x:c>
      <x:c r="E369"/>
    </x:row>
    <x:row r="370">
      <x:c r="A370" s="54" t="str">
        <x:v>QAR-LBL-WATER</x:v>
      </x:c>
      <x:c r="B370" s="54" t="str">
        <x:v>LBL-0007</x:v>
      </x:c>
      <x:c r="C370" s="54" t="str">
        <x:v>SHARED</x:v>
      </x:c>
      <x:c r="D370" s="54" t="str">
        <x:v>Provision Label - Potable Water</x:v>
      </x:c>
      <x:c r="E370"/>
    </x:row>
    <x:row r="371">
      <x:c r="A371" s="54" t="str">
        <x:v>QAR-LBL-RUM</x:v>
      </x:c>
      <x:c r="B371" s="54" t="str">
        <x:v>LBL-0008</x:v>
      </x:c>
      <x:c r="C371" s="54" t="str">
        <x:v>SHARED</x:v>
      </x:c>
      <x:c r="D371" s="54" t="str">
        <x:v>Provision Label - Rum / Flammable</x:v>
      </x:c>
      <x:c r="E371"/>
    </x:row>
    <x:row r="372">
      <x:c r="A372" s="54" t="str">
        <x:v>QAR-LBL-FOOD</x:v>
      </x:c>
      <x:c r="B372" s="54" t="str">
        <x:v>LBL-0009</x:v>
      </x:c>
      <x:c r="C372" s="54" t="str">
        <x:v>SHARED</x:v>
      </x:c>
      <x:c r="D372" s="54" t="str">
        <x:v>Provision Label - Food Lot</x:v>
      </x:c>
      <x:c r="E372"/>
    </x:row>
    <x:row r="373">
      <x:c r="A373" s="54" t="str">
        <x:v>QAR-LBL-VINEGAR</x:v>
      </x:c>
      <x:c r="B373" s="54" t="str">
        <x:v>LBL-0010</x:v>
      </x:c>
      <x:c r="C373" s="54" t="str">
        <x:v>SHARED</x:v>
      </x:c>
      <x:c r="D373" s="54" t="str">
        <x:v>Provision Label - Vinegar</x:v>
      </x:c>
      <x:c r="E373"/>
    </x:row>
    <x:row r="374">
      <x:c r="A374" s="54" t="str">
        <x:v>QAR-PROV-WATER50</x:v>
      </x:c>
      <x:c r="B374" s="54" t="str">
        <x:v>ASM-0042</x:v>
      </x:c>
      <x:c r="C374" s="54" t="str">
        <x:v>SHARED</x:v>
      </x:c>
      <x:c r="D374" s="54" t="str">
        <x:v>Potable Water Cask, 50 gal</x:v>
      </x:c>
      <x:c r="E374"/>
    </x:row>
    <x:row r="375">
      <x:c r="A375" s="54" t="str">
        <x:v>QAR-PROV-RUM50</x:v>
      </x:c>
      <x:c r="B375" s="54" t="str">
        <x:v>ASM-0043</x:v>
      </x:c>
      <x:c r="C375" s="54" t="str">
        <x:v>SHARED</x:v>
      </x:c>
      <x:c r="D375" s="54" t="str">
        <x:v>Rum Cask, 50 gal</x:v>
      </x:c>
      <x:c r="E375"/>
    </x:row>
    <x:row r="376">
      <x:c r="A376" s="54" t="str">
        <x:v>QAR-PROV-VINE25</x:v>
      </x:c>
      <x:c r="B376" s="54" t="str">
        <x:v>ASM-0044</x:v>
      </x:c>
      <x:c r="C376" s="54" t="str">
        <x:v>SHARED</x:v>
      </x:c>
      <x:c r="D376" s="54" t="str">
        <x:v>Vinegar Cask, 25 gal</x:v>
      </x:c>
      <x:c r="E376"/>
    </x:row>
    <x:row r="377">
      <x:c r="A377" s="54" t="str">
        <x:v>QAR-PROV-BISC100</x:v>
      </x:c>
      <x:c r="B377" s="54" t="str">
        <x:v>ASM-0045</x:v>
      </x:c>
      <x:c r="C377" s="54" t="str">
        <x:v>SHARED</x:v>
      </x:c>
      <x:c r="D377" s="54" t="str">
        <x:v>Ship's Biscuit Cask, 100 lb</x:v>
      </x:c>
      <x:c r="E377"/>
    </x:row>
    <x:row r="378">
      <x:c r="A378" s="54" t="str">
        <x:v>QAR-PROV-BEEF200</x:v>
      </x:c>
      <x:c r="B378" s="54" t="str">
        <x:v>ASM-0046</x:v>
      </x:c>
      <x:c r="C378" s="54" t="str">
        <x:v>SHARED</x:v>
      </x:c>
      <x:c r="D378" s="54" t="str">
        <x:v>Salt Beef Barrel, 200 lb</x:v>
      </x:c>
      <x:c r="E378"/>
    </x:row>
    <x:row r="379">
      <x:c r="A379" s="54" t="str">
        <x:v>QAR-PROV-PORK200</x:v>
      </x:c>
      <x:c r="B379" s="54" t="str">
        <x:v>ASM-0047</x:v>
      </x:c>
      <x:c r="C379" s="54" t="str">
        <x:v>SHARED</x:v>
      </x:c>
      <x:c r="D379" s="54" t="str">
        <x:v>Salt Pork Barrel, 200 lb</x:v>
      </x:c>
      <x:c r="E379"/>
    </x:row>
    <x:row r="380">
      <x:c r="A380" s="54" t="str">
        <x:v>QAR-PROV-FISH100</x:v>
      </x:c>
      <x:c r="B380" s="54" t="str">
        <x:v>ASM-0048</x:v>
      </x:c>
      <x:c r="C380" s="54" t="str">
        <x:v>SHARED</x:v>
      </x:c>
      <x:c r="D380" s="54" t="str">
        <x:v>Dried Fish Barrel, 100 lb</x:v>
      </x:c>
      <x:c r="E380"/>
    </x:row>
    <x:row r="381">
      <x:c r="A381" s="54" t="str">
        <x:v>QAR-PROV-PEAS50</x:v>
      </x:c>
      <x:c r="B381" s="54" t="str">
        <x:v>ASM-0049</x:v>
      </x:c>
      <x:c r="C381" s="54" t="str">
        <x:v>SHARED</x:v>
      </x:c>
      <x:c r="D381" s="54" t="str">
        <x:v>Dried Peas Sack, 50 lb</x:v>
      </x:c>
      <x:c r="E381"/>
    </x:row>
    <x:row r="382">
      <x:c r="A382" s="54" t="str">
        <x:v>QAR-PROV-OATS50</x:v>
      </x:c>
      <x:c r="B382" s="54" t="str">
        <x:v>ASM-0050</x:v>
      </x:c>
      <x:c r="C382" s="54" t="str">
        <x:v>SHARED</x:v>
      </x:c>
      <x:c r="D382" s="54" t="str">
        <x:v>Oatmeal Sack, 50 lb</x:v>
      </x:c>
      <x:c r="E382"/>
    </x:row>
    <x:row r="383">
      <x:c r="A383" s="54" t="str">
        <x:v>QAR-PROV-CHEESE50</x:v>
      </x:c>
      <x:c r="B383" s="54" t="str">
        <x:v>ASM-0051</x:v>
      </x:c>
      <x:c r="C383" s="54" t="str">
        <x:v>SHARED</x:v>
      </x:c>
      <x:c r="D383" s="54" t="str">
        <x:v>Hard Cheese Crate, 50 lb</x:v>
      </x:c>
      <x:c r="E383"/>
    </x:row>
    <x:row r="384">
      <x:c r="A384" s="54" t="str">
        <x:v>QAR-PROV-BUTTER25</x:v>
      </x:c>
      <x:c r="B384" s="54" t="str">
        <x:v>ASM-0052</x:v>
      </x:c>
      <x:c r="C384" s="54" t="str">
        <x:v>SHARED</x:v>
      </x:c>
      <x:c r="D384" s="54" t="str">
        <x:v>Salt Butter Firkin, 25 lb</x:v>
      </x:c>
      <x:c r="E384"/>
    </x:row>
    <x:row r="385">
      <x:c r="A385" s="54" t="str">
        <x:v>QAR-PROV-SALT50</x:v>
      </x:c>
      <x:c r="B385" s="54" t="str">
        <x:v>ASM-0053</x:v>
      </x:c>
      <x:c r="C385" s="54" t="str">
        <x:v>SHARED</x:v>
      </x:c>
      <x:c r="D385" s="54" t="str">
        <x:v>Sea Salt Sack, 50 lb</x:v>
      </x:c>
      <x:c r="E385"/>
    </x:row>
    <x:row r="386">
      <x:c r="A386" s="54" t="str">
        <x:v>QAR-PROV-OIL25</x:v>
      </x:c>
      <x:c r="B386" s="54" t="str">
        <x:v>ASM-0054</x:v>
      </x:c>
      <x:c r="C386" s="54" t="str">
        <x:v>SHARED</x:v>
      </x:c>
      <x:c r="D386" s="54" t="str">
        <x:v>Cooking Oil Cask, 25 gal</x:v>
      </x:c>
      <x:c r="E386"/>
    </x:row>
    <x:row r="387">
      <x:c r="A387" s="54" t="str">
        <x:v>QAR-CREW-ISSUE</x:v>
      </x:c>
      <x:c r="B387" s="54" t="str">
        <x:v>KIT-0042</x:v>
      </x:c>
      <x:c r="C387" s="54" t="str">
        <x:v>SHARED</x:v>
      </x:c>
      <x:c r="D387" s="54" t="str">
        <x:v>Individual Crew Issue Pack</x:v>
      </x:c>
      <x:c r="E387"/>
    </x:row>
    <x:row r="388">
      <x:c r="A388" s="54" t="str">
        <x:v>QAR-BERTH-SPARE</x:v>
      </x:c>
      <x:c r="B388" s="54" t="str">
        <x:v>OFT-0023</x:v>
      </x:c>
      <x:c r="C388" s="54" t="str">
        <x:v>SHARED</x:v>
      </x:c>
      <x:c r="D388" s="54" t="str">
        <x:v>Spare Berthing Stores</x:v>
      </x:c>
      <x:c r="E388"/>
    </x:row>
    <x:row r="389">
      <x:c r="A389" s="54" t="str">
        <x:v>QAR-HAMMOCK</x:v>
      </x:c>
      <x:c r="B389" s="54" t="str">
        <x:v>ASM-0055</x:v>
      </x:c>
      <x:c r="C389" s="54" t="str">
        <x:v>SHARED</x:v>
      </x:c>
      <x:c r="D389" s="54" t="str">
        <x:v>Canvas Sailor's Hammock</x:v>
      </x:c>
      <x:c r="E389"/>
    </x:row>
    <x:row r="390">
      <x:c r="A390" s="54" t="str">
        <x:v>QAR-BLANKET</x:v>
      </x:c>
      <x:c r="B390" s="54" t="str">
        <x:v>PRT-0151</x:v>
      </x:c>
      <x:c r="C390" s="54" t="str">
        <x:v>SHARED</x:v>
      </x:c>
      <x:c r="D390" s="54" t="str">
        <x:v>Wool Sea Blanket</x:v>
      </x:c>
      <x:c r="E390"/>
    </x:row>
    <x:row r="391">
      <x:c r="A391" s="54" t="str">
        <x:v>QAR-SEA-BAG</x:v>
      </x:c>
      <x:c r="B391" s="54" t="str">
        <x:v>PKG-0015</x:v>
      </x:c>
      <x:c r="C391" s="54" t="str">
        <x:v>SHARED</x:v>
      </x:c>
      <x:c r="D391" s="54" t="str">
        <x:v>Canvas Sea Bag</x:v>
      </x:c>
      <x:c r="E391"/>
    </x:row>
    <x:row r="392">
      <x:c r="A392" s="54" t="str">
        <x:v>QAR-CUP-PEWTER</x:v>
      </x:c>
      <x:c r="B392" s="54" t="str">
        <x:v>PRT-0152</x:v>
      </x:c>
      <x:c r="C392" s="54" t="str">
        <x:v>SHARED</x:v>
      </x:c>
      <x:c r="D392" s="54" t="str">
        <x:v>Pewter Drinking Cup</x:v>
      </x:c>
      <x:c r="E392"/>
    </x:row>
    <x:row r="393">
      <x:c r="A393" s="54" t="str">
        <x:v>QAR-KNIFE-PERSONAL</x:v>
      </x:c>
      <x:c r="B393" s="54" t="str">
        <x:v>PRT-0153</x:v>
      </x:c>
      <x:c r="C393" s="54" t="str">
        <x:v>SHARED</x:v>
      </x:c>
      <x:c r="D393" s="54" t="str">
        <x:v>Sailor's Utility Knife</x:v>
      </x:c>
      <x:c r="E393"/>
    </x:row>
    <x:row r="394">
      <x:c r="A394" s="54" t="str">
        <x:v>QAR-CLOTH-BUNDLE</x:v>
      </x:c>
      <x:c r="B394" s="54" t="str">
        <x:v>KIT-0043</x:v>
      </x:c>
      <x:c r="C394" s="54" t="str">
        <x:v>SHARED</x:v>
      </x:c>
      <x:c r="D394" s="54" t="str">
        <x:v>Basic Clothing Bundle</x:v>
      </x:c>
      <x:c r="E394"/>
    </x:row>
    <x:row r="395">
      <x:c r="A395" s="54" t="str">
        <x:v>QAR-HAMMOCK-LINE</x:v>
      </x:c>
      <x:c r="B395" s="54" t="str">
        <x:v>KIT-0044</x:v>
      </x:c>
      <x:c r="C395" s="54" t="str">
        <x:v>SHARED</x:v>
      </x:c>
      <x:c r="D395" s="54" t="str">
        <x:v>Hammock Clew and Lashing Set</x:v>
      </x:c>
      <x:c r="E395"/>
    </x:row>
    <x:row r="396">
      <x:c r="A396" s="54" t="str">
        <x:v>QAR-LBL-CREW</x:v>
      </x:c>
      <x:c r="B396" s="54" t="str">
        <x:v>LBL-0011</x:v>
      </x:c>
      <x:c r="C396" s="54" t="str">
        <x:v>SHARED</x:v>
      </x:c>
      <x:c r="D396" s="54" t="str">
        <x:v>Identity Label - Crew Issue Pack</x:v>
      </x:c>
      <x:c r="E396"/>
    </x:row>
    <x:row r="397">
      <x:c r="A397" s="54" t="str">
        <x:v>QAR-CAPTAIN-CAB</x:v>
      </x:c>
      <x:c r="B397" s="54" t="str">
        <x:v>QAR-0054</x:v>
      </x:c>
      <x:c r="C397" s="54" t="str">
        <x:v>SHIP-SPECIFIC</x:v>
      </x:c>
      <x:c r="D397" s="54" t="str">
        <x:v>Captain's Cabin Furniture and Service</x:v>
      </x:c>
      <x:c r="E397"/>
    </x:row>
    <x:row r="398">
      <x:c r="A398" s="54" t="str">
        <x:v>QAR-RECORD-CHEST</x:v>
      </x:c>
      <x:c r="B398" s="54" t="str">
        <x:v>KIT-0045</x:v>
      </x:c>
      <x:c r="C398" s="54" t="str">
        <x:v>SHARED</x:v>
      </x:c>
      <x:c r="D398" s="54" t="str">
        <x:v>Ship's Record and Writing Chest</x:v>
      </x:c>
      <x:c r="E398"/>
    </x:row>
    <x:row r="399">
      <x:c r="A399" s="54" t="str">
        <x:v>QAR-STRONG-CHEST</x:v>
      </x:c>
      <x:c r="B399" s="54" t="str">
        <x:v>ASM-0056</x:v>
      </x:c>
      <x:c r="C399" s="54" t="str">
        <x:v>SHARED</x:v>
      </x:c>
      <x:c r="D399" s="54" t="str">
        <x:v>Locking Strong Chest</x:v>
      </x:c>
      <x:c r="E399"/>
    </x:row>
    <x:row r="400">
      <x:c r="A400" s="54" t="str">
        <x:v>QAR-TABLE-CAB</x:v>
      </x:c>
      <x:c r="B400" s="54" t="str">
        <x:v>ASM-0057</x:v>
      </x:c>
      <x:c r="C400" s="54" t="str">
        <x:v>SHARED</x:v>
      </x:c>
      <x:c r="D400" s="54" t="str">
        <x:v>Folding Cabin Table</x:v>
      </x:c>
      <x:c r="E400"/>
    </x:row>
    <x:row r="401">
      <x:c r="A401" s="54" t="str">
        <x:v>QAR-CHAIR-CAB</x:v>
      </x:c>
      <x:c r="B401" s="54" t="str">
        <x:v>ASM-0058</x:v>
      </x:c>
      <x:c r="C401" s="54" t="str">
        <x:v>SHARED</x:v>
      </x:c>
      <x:c r="D401" s="54" t="str">
        <x:v>Cabin Chair</x:v>
      </x:c>
      <x:c r="E401"/>
    </x:row>
    <x:row r="402">
      <x:c r="A402" s="54" t="str">
        <x:v>QAR-BUNK-CAB</x:v>
      </x:c>
      <x:c r="B402" s="54" t="str">
        <x:v>ASM-0059</x:v>
      </x:c>
      <x:c r="C402" s="54" t="str">
        <x:v>SHARED</x:v>
      </x:c>
      <x:c r="D402" s="54" t="str">
        <x:v>Captain's Berth and Bedding</x:v>
      </x:c>
      <x:c r="E402"/>
    </x:row>
    <x:row r="403">
      <x:c r="A403" s="54" t="str">
        <x:v>QAR-WRITING-DESK</x:v>
      </x:c>
      <x:c r="B403" s="54" t="str">
        <x:v>ASM-0060</x:v>
      </x:c>
      <x:c r="C403" s="54" t="str">
        <x:v>SHARED</x:v>
      </x:c>
      <x:c r="D403" s="54" t="str">
        <x:v>Portable Writing Desk</x:v>
      </x:c>
      <x:c r="E403"/>
    </x:row>
    <x:row r="404">
      <x:c r="A404" s="54" t="str">
        <x:v>QAR-INKHORN</x:v>
      </x:c>
      <x:c r="B404" s="54" t="str">
        <x:v>PKG-0016</x:v>
      </x:c>
      <x:c r="C404" s="54" t="str">
        <x:v>SHARED</x:v>
      </x:c>
      <x:c r="D404" s="54" t="str">
        <x:v>Ink Horn</x:v>
      </x:c>
      <x:c r="E404"/>
    </x:row>
    <x:row r="405">
      <x:c r="A405" s="54" t="str">
        <x:v>QAR-QUILL</x:v>
      </x:c>
      <x:c r="B405" s="54" t="str">
        <x:v>MAT-0039</x:v>
      </x:c>
      <x:c r="C405" s="54" t="str">
        <x:v>SHARED</x:v>
      </x:c>
      <x:c r="D405" s="54" t="str">
        <x:v>Writing Quill</x:v>
      </x:c>
      <x:c r="E405"/>
    </x:row>
    <x:row r="406">
      <x:c r="A406" s="54" t="str">
        <x:v>QAR-LEDGER</x:v>
      </x:c>
      <x:c r="B406" s="54" t="str">
        <x:v>DOC-0002</x:v>
      </x:c>
      <x:c r="C406" s="54" t="str">
        <x:v>SHARED</x:v>
      </x:c>
      <x:c r="D406" s="54" t="str">
        <x:v>Quartermaster's Stores Ledger</x:v>
      </x:c>
      <x:c r="E406"/>
    </x:row>
    <x:row r="407">
      <x:c r="A407" s="54" t="str">
        <x:v>QAR-MUSTER</x:v>
      </x:c>
      <x:c r="B407" s="54" t="str">
        <x:v>DOC-0003</x:v>
      </x:c>
      <x:c r="C407" s="54" t="str">
        <x:v>SHARED</x:v>
      </x:c>
      <x:c r="D407" s="54" t="str">
        <x:v>Crew Muster and Watch Book</x:v>
      </x:c>
      <x:c r="E407"/>
    </x:row>
    <x:row r="408">
      <x:c r="A408" s="54" t="str">
        <x:v>QAR-SEAL-WAX</x:v>
      </x:c>
      <x:c r="B408" s="54" t="str">
        <x:v>MAT-0040</x:v>
      </x:c>
      <x:c r="C408" s="54" t="str">
        <x:v>SHARED</x:v>
      </x:c>
      <x:c r="D408" s="54" t="str">
        <x:v>Sealing Wax Stick</x:v>
      </x:c>
      <x:c r="E408"/>
    </x:row>
    <x:row r="409">
      <x:c r="A409" s="54" t="str">
        <x:v>QAR-BRASS-WEIGHT</x:v>
      </x:c>
      <x:c r="B409" s="54" t="str">
        <x:v>KIT-0046</x:v>
      </x:c>
      <x:c r="C409" s="54" t="str">
        <x:v>SHARED</x:v>
      </x:c>
      <x:c r="D409" s="54" t="str">
        <x:v>Brass Trade Weight Set</x:v>
      </x:c>
      <x:c r="E409"/>
    </x:row>
    <x:row r="410">
      <x:c r="A410" s="54" t="str">
        <x:v>QAR-SCALE-BEAM</x:v>
      </x:c>
      <x:c r="B410" s="54" t="str">
        <x:v>ASM-0061</x:v>
      </x:c>
      <x:c r="C410" s="54" t="str">
        <x:v>SHARED</x:v>
      </x:c>
      <x:c r="D410" s="54" t="str">
        <x:v>Portable Beam Scale</x:v>
      </x:c>
      <x:c r="E410"/>
    </x:row>
    <x:row r="411">
      <x:c r="A411" s="54" t="str">
        <x:v>QAR-FIRE-OUT</x:v>
      </x:c>
      <x:c r="B411" s="54" t="str">
        <x:v>OFT-0024</x:v>
      </x:c>
      <x:c r="C411" s="54" t="str">
        <x:v>SHARED</x:v>
      </x:c>
      <x:c r="D411" s="54" t="str">
        <x:v>Fire Response Outfit</x:v>
      </x:c>
      <x:c r="E411"/>
    </x:row>
    <x:row r="412">
      <x:c r="A412" s="54" t="str">
        <x:v>QAR-FLOOD-OUT</x:v>
      </x:c>
      <x:c r="B412" s="54" t="str">
        <x:v>OFT-0025</x:v>
      </x:c>
      <x:c r="C412" s="54" t="str">
        <x:v>SHARED</x:v>
      </x:c>
      <x:c r="D412" s="54" t="str">
        <x:v>Flood and Collision Response Outfit</x:v>
      </x:c>
      <x:c r="E412"/>
    </x:row>
    <x:row r="413">
      <x:c r="A413" s="54" t="str">
        <x:v>QAR-ABANDON</x:v>
      </x:c>
      <x:c r="B413" s="54" t="str">
        <x:v>OFT-0026</x:v>
      </x:c>
      <x:c r="C413" s="54" t="str">
        <x:v>SHARED</x:v>
      </x:c>
      <x:c r="D413" s="54" t="str">
        <x:v>Abandon-Ship Emergency Stores</x:v>
      </x:c>
      <x:c r="E413"/>
    </x:row>
    <x:row r="414">
      <x:c r="A414" s="54" t="str">
        <x:v>QAR-FIRE-BUCKET</x:v>
      </x:c>
      <x:c r="B414" s="54" t="str">
        <x:v>PRT-0154</x:v>
      </x:c>
      <x:c r="C414" s="54" t="str">
        <x:v>SHARED</x:v>
      </x:c>
      <x:c r="D414" s="54" t="str">
        <x:v>Leather Fire Bucket</x:v>
      </x:c>
      <x:c r="E414"/>
    </x:row>
    <x:row r="415">
      <x:c r="A415" s="54" t="str">
        <x:v>QAR-SAND-TUB</x:v>
      </x:c>
      <x:c r="B415" s="54" t="str">
        <x:v>ASM-0062</x:v>
      </x:c>
      <x:c r="C415" s="54" t="str">
        <x:v>SHARED</x:v>
      </x:c>
      <x:c r="D415" s="54" t="str">
        <x:v>Fire Sand Tub, Filled</x:v>
      </x:c>
      <x:c r="E415"/>
    </x:row>
    <x:row r="416">
      <x:c r="A416" s="54" t="str">
        <x:v>QAR-FIRE-AXE</x:v>
      </x:c>
      <x:c r="B416" s="54" t="str">
        <x:v>PRT-0155</x:v>
      </x:c>
      <x:c r="C416" s="54" t="str">
        <x:v>SHARED</x:v>
      </x:c>
      <x:c r="D416" s="54" t="str">
        <x:v>Fire Axe</x:v>
      </x:c>
      <x:c r="E416"/>
    </x:row>
    <x:row r="417">
      <x:c r="A417" s="54" t="str">
        <x:v>QAR-FIRE-BLANKET</x:v>
      </x:c>
      <x:c r="B417" s="54" t="str">
        <x:v>PRT-0156</x:v>
      </x:c>
      <x:c r="C417" s="54" t="str">
        <x:v>SHARED</x:v>
      </x:c>
      <x:c r="D417" s="54" t="str">
        <x:v>Heavy Wool Fire Blanket</x:v>
      </x:c>
      <x:c r="E417"/>
    </x:row>
    <x:row r="418">
      <x:c r="A418" s="54" t="str">
        <x:v>QAR-PLUG-KIT</x:v>
      </x:c>
      <x:c r="B418" s="54" t="str">
        <x:v>KIT-0047</x:v>
      </x:c>
      <x:c r="C418" s="54" t="str">
        <x:v>SHARED</x:v>
      </x:c>
      <x:c r="D418" s="54" t="str">
        <x:v>Tapered Hull Plug Kit</x:v>
      </x:c>
      <x:c r="E418"/>
    </x:row>
    <x:row r="419">
      <x:c r="A419" s="54" t="str">
        <x:v>QAR-COLLISION-MAT</x:v>
      </x:c>
      <x:c r="B419" s="54" t="str">
        <x:v>ASM-0063</x:v>
      </x:c>
      <x:c r="C419" s="54" t="str">
        <x:v>SHARED</x:v>
      </x:c>
      <x:c r="D419" s="54" t="str">
        <x:v>Collision Mat and Rigging</x:v>
      </x:c>
      <x:c r="E419"/>
    </x:row>
    <x:row r="420">
      <x:c r="A420" s="54" t="str">
        <x:v>QAR-EMERG-RATION</x:v>
      </x:c>
      <x:c r="B420" s="54" t="str">
        <x:v>KIT-0048</x:v>
      </x:c>
      <x:c r="C420" s="54" t="str">
        <x:v>SHARED</x:v>
      </x:c>
      <x:c r="D420" s="54" t="str">
        <x:v>Emergency Provision Chest</x:v>
      </x:c>
      <x:c r="E420"/>
    </x:row>
    <x:row r="421">
      <x:c r="A421" s="54" t="str">
        <x:v>QAR-WATER-BREAKER</x:v>
      </x:c>
      <x:c r="B421" s="54" t="str">
        <x:v>PKG-0017</x:v>
      </x:c>
      <x:c r="C421" s="54" t="str">
        <x:v>SHARED</x:v>
      </x:c>
      <x:c r="D421" s="54" t="str">
        <x:v>Emergency Water Breaker, 20 gal</x:v>
      </x:c>
      <x:c r="E421"/>
    </x:row>
    <x:row r="422">
      <x:c r="A422" s="54" t="str">
        <x:v>QAR-LBL-FIRE</x:v>
      </x:c>
      <x:c r="B422" s="54" t="str">
        <x:v>LBL-0012</x:v>
      </x:c>
      <x:c r="C422" s="54" t="str">
        <x:v>SHARED</x:v>
      </x:c>
      <x:c r="D422" s="54" t="str">
        <x:v>Safety Label - Fire Station</x:v>
      </x:c>
      <x:c r="E422"/>
    </x:row>
    <x:row r="423">
      <x:c r="A423" s="54" t="str">
        <x:v>QAR-LBL-FLOOD</x:v>
      </x:c>
      <x:c r="B423" s="54" t="str">
        <x:v>LBL-0013</x:v>
      </x:c>
      <x:c r="C423" s="54" t="str">
        <x:v>SHARED</x:v>
      </x:c>
      <x:c r="D423" s="54" t="str">
        <x:v>Safety Label - Flood Response Kit</x:v>
      </x:c>
      <x:c r="E423"/>
    </x:row>
    <x:row r="424">
      <x:c r="A424" s="54" t="str">
        <x:v>QAR-LBL-KIT</x:v>
      </x:c>
      <x:c r="B424" s="54" t="str">
        <x:v>LBL-0014</x:v>
      </x:c>
      <x:c r="C424" s="54" t="str">
        <x:v>SHARED</x:v>
      </x:c>
      <x:c r="D424" s="54" t="str">
        <x:v>General Kit Identification Label</x:v>
      </x:c>
      <x:c r="E424"/>
    </x:row>
    <x:row r="425">
      <x:c r="A425" s="54" t="str">
        <x:v>QAR-LBL-INSP</x:v>
      </x:c>
      <x:c r="B425" s="54" t="str">
        <x:v>LBL-0015</x:v>
      </x:c>
      <x:c r="C425" s="54" t="str">
        <x:v>SHARED</x:v>
      </x:c>
      <x:c r="D425" s="54" t="str">
        <x:v>Inspection Status Label</x:v>
      </x:c>
      <x:c r="E425"/>
    </x:row>
    <x:row r="426">
      <x:c r="A426" s="54" t="str">
        <x:v>QAR-LBL-STOW</x:v>
      </x:c>
      <x:c r="B426" s="54" t="str">
        <x:v>LBL-0016</x:v>
      </x:c>
      <x:c r="C426" s="54" t="str">
        <x:v>SHARED</x:v>
      </x:c>
      <x:c r="D426" s="54" t="str">
        <x:v>Stowage Location Label</x:v>
      </x:c>
      <x:c r="E426"/>
    </x:row>
    <x:row r="427">
      <x:c r="A427" s="54" t="str">
        <x:v>QAR-LBL-KEEPDRY</x:v>
      </x:c>
      <x:c r="B427" s="54" t="str">
        <x:v>LBL-0017</x:v>
      </x:c>
      <x:c r="C427" s="54" t="str">
        <x:v>SHARED</x:v>
      </x:c>
      <x:c r="D427" s="54" t="str">
        <x:v>Safety Label - Keep Dry</x:v>
      </x:c>
      <x:c r="E427"/>
    </x:row>
    <x:row r="428">
      <x:c r="A428" s="54" t="str">
        <x:v>QAR-LBL-NOISSUE</x:v>
      </x:c>
      <x:c r="B428" s="54" t="str">
        <x:v>LBL-0018</x:v>
      </x:c>
      <x:c r="C428" s="54" t="str">
        <x:v>SHARED</x:v>
      </x:c>
      <x:c r="D428" s="54" t="str">
        <x:v>Safety Label - Incomplete / Do Not Issue</x:v>
      </x:c>
      <x:c r="E428"/>
    </x:row>
    <x:row r="429">
      <x:c r="A429" s="54" t="str">
        <x:v>QAR-LBL-READY</x:v>
      </x:c>
      <x:c r="B429" s="54" t="str">
        <x:v>LBL-0019</x:v>
      </x:c>
      <x:c r="C429" s="54" t="str">
        <x:v>SHARED</x:v>
      </x:c>
      <x:c r="D429" s="54" t="str">
        <x:v>Readiness Label - Packed and Approved</x:v>
      </x:c>
      <x:c r="E429"/>
    </x:row>
    <x:row r="430">
      <x:c r="A430" s="54" t="str">
        <x:v>QAR-LBL-SHEET</x:v>
      </x:c>
      <x:c r="B430" s="54" t="str">
        <x:v>MAT-0041</x:v>
      </x:c>
      <x:c r="C430" s="54" t="str">
        <x:v>SHARED</x:v>
      </x:c>
      <x:c r="D430" s="54" t="str">
        <x:v>Blank Label Stock Sheet</x:v>
      </x:c>
      <x:c r="E430"/>
    </x:row>
    <x:row r="431">
      <x:c r="A431" s="54" t="str">
        <x:v>QAR-SEAL-TAMPER</x:v>
      </x:c>
      <x:c r="B431" s="54" t="str">
        <x:v>MAT-0042</x:v>
      </x:c>
      <x:c r="C431" s="54" t="str">
        <x:v>SHARED</x:v>
      </x:c>
      <x:c r="D431" s="54" t="str">
        <x:v>Tamper-Evident Reconstruction Seal</x:v>
      </x:c>
      <x:c r="E431"/>
    </x:row>
  </x:sheetData>
  <x:mergeCells>
    <x:mergeCell ref="A1:D1"/>
    <x:mergeCell ref="A2:D2"/>
  </x:mergeCells>
  <x:conditionalFormatting sqref="B4:B431">
    <x:cfRule type="expression" dxfId="4" priority="1">
      <x:formula>LEN(B4)&lt;&gt;8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2" hidden="0" customWidth="1"/>
    <x:col min="3" max="3" width="15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INVENTORY IMPORT</x:v>
      </x:c>
      <x:c r="B1" s="3"/>
      <x:c r="C1" s="3"/>
      <x:c r="D1" s="3"/>
      <x:c r="E1" s="3"/>
      <x:c r="F1" s="3"/>
      <x:c r="G1" s="3"/>
      <x:c r="H1"/>
    </x:row>
    <x:row r="2" ht="28" customHeight="1">
      <x:c r="A2" s="6" t="str">
        <x:v>Exact four-column Buildbooks-compatible inventory file with workbook-only audit columns</x:v>
      </x:c>
      <x:c r="B2" s="6"/>
      <x:c r="C2" s="6"/>
      <x:c r="D2" s="6"/>
      <x:c r="E2" s="6"/>
      <x:c r="F2" s="6"/>
      <x:c r="G2" s="6"/>
      <x:c r="H2"/>
    </x:row>
    <x:row r="3" ht="25" customHeight="1">
      <x:c r="A3" s="60" t="str">
        <x:v>LocalSKU</x:v>
      </x:c>
      <x:c r="B3" s="61" t="str">
        <x:v>ItemName</x:v>
      </x:c>
      <x:c r="C3" s="61" t="str">
        <x:v>Vendor</x:v>
      </x:c>
      <x:c r="D3" s="66" t="str">
        <x:v>UPC</x:v>
      </x:c>
      <x:c r="E3" s="61" t="str">
        <x:v>Appears as Assembly</x:v>
      </x:c>
      <x:c r="F3" s="61" t="str">
        <x:v>Used as Part</x:v>
      </x:c>
      <x:c r="G3" s="61" t="str">
        <x:v>Import Status</x:v>
      </x:c>
      <x:c r="H3"/>
    </x:row>
    <x:row r="4">
      <x:c r="A4" s="54" t="str">
        <x:v>QAR-0001</x:v>
      </x:c>
      <x:c r="B4" s="54" t="str">
        <x:v>Queen Anne's Revenge, Frigate, 1718</x:v>
      </x:c>
      <x:c r="C4" s="54" t="str">
        <x:v>QARYARD</x:v>
      </x:c>
      <x:c r="D4" s="67" t="str">
        <x:v>020171800018</x:v>
      </x:c>
      <x:c r="E4" s="54" t="b">
        <x:f>COUNTIF('BOM'!$A$4:$A$531,A4)&gt;0</x:f>
        <x:v>1</x:v>
      </x:c>
      <x:c r="F4" s="54" t="b">
        <x:f>COUNTIF('BOM'!$B$4:$B$531,A4)&gt;0</x:f>
        <x:v>0</x:v>
      </x:c>
      <x:c r="G4" s="54" t="str">
        <x:f>IF(COUNTIF($A$4:$A$431,A4)=1,"OK","DUPLICATE SKU")</x:f>
        <x:v>OK</x:v>
      </x:c>
      <x:c r="H4"/>
    </x:row>
    <x:row r="5">
      <x:c r="A5" s="54" t="str">
        <x:v>QAR-0002</x:v>
      </x:c>
      <x:c r="B5" s="54" t="str">
        <x:v>Hull, Deck and Fixed Ship Fittings</x:v>
      </x:c>
      <x:c r="C5" s="54" t="str">
        <x:v>SHIPWRIGHT</x:v>
      </x:c>
      <x:c r="D5" s="67" t="str">
        <x:v>020171800025</x:v>
      </x:c>
      <x:c r="E5" s="54" t="b">
        <x:f>COUNTIF('BOM'!$A$4:$A$531,A5)&gt;0</x:f>
        <x:v>1</x:v>
      </x:c>
      <x:c r="F5" s="54" t="b">
        <x:f>COUNTIF('BOM'!$B$4:$B$531,A5)&gt;0</x:f>
        <x:v>1</x:v>
      </x:c>
      <x:c r="G5" s="54" t="str">
        <x:f>IF(COUNTIF($A$4:$A$431,A5)=1,"OK","DUPLICATE SKU")</x:f>
        <x:v>OK</x:v>
      </x:c>
      <x:c r="H5"/>
    </x:row>
    <x:row r="6">
      <x:c r="A6" s="54" t="str">
        <x:v>QAR-0003</x:v>
      </x:c>
      <x:c r="B6" s="54" t="str">
        <x:v>Complete Armament Outfit</x:v>
      </x:c>
      <x:c r="C6" s="54" t="str">
        <x:v>GUNDECK</x:v>
      </x:c>
      <x:c r="D6" s="67" t="str">
        <x:v>020171800032</x:v>
      </x:c>
      <x:c r="E6" s="54" t="b">
        <x:f>COUNTIF('BOM'!$A$4:$A$531,A6)&gt;0</x:f>
        <x:v>1</x:v>
      </x:c>
      <x:c r="F6" s="54" t="b">
        <x:f>COUNTIF('BOM'!$B$4:$B$531,A6)&gt;0</x:f>
        <x:v>1</x:v>
      </x:c>
      <x:c r="G6" s="54" t="str">
        <x:f>IF(COUNTIF($A$4:$A$431,A6)=1,"OK","DUPLICATE SKU")</x:f>
        <x:v>OK</x:v>
      </x:c>
      <x:c r="H6"/>
    </x:row>
    <x:row r="7">
      <x:c r="A7" s="54" t="str">
        <x:v>QAR-0004</x:v>
      </x:c>
      <x:c r="B7" s="54" t="str">
        <x:v>Masts, Rigging and Sail Outfit</x:v>
      </x:c>
      <x:c r="C7" s="54" t="str">
        <x:v>SAILLOFT</x:v>
      </x:c>
      <x:c r="D7" s="67" t="str">
        <x:v>020171800049</x:v>
      </x:c>
      <x:c r="E7" s="54" t="b">
        <x:f>COUNTIF('BOM'!$A$4:$A$531,A7)&gt;0</x:f>
        <x:v>1</x:v>
      </x:c>
      <x:c r="F7" s="54" t="b">
        <x:f>COUNTIF('BOM'!$B$4:$B$531,A7)&gt;0</x:f>
        <x:v>1</x:v>
      </x:c>
      <x:c r="G7" s="54" t="str">
        <x:f>IF(COUNTIF($A$4:$A$431,A7)=1,"OK","DUPLICATE SKU")</x:f>
        <x:v>OK</x:v>
      </x:c>
      <x:c r="H7"/>
    </x:row>
    <x:row r="8">
      <x:c r="A8" s="54" t="str">
        <x:v>QAR-0005</x:v>
      </x:c>
      <x:c r="B8" s="54" t="str">
        <x:v>Ground Tackle and Mooring Outfit</x:v>
      </x:c>
      <x:c r="C8" s="54" t="str">
        <x:v>BOATSWAIN</x:v>
      </x:c>
      <x:c r="D8" s="67" t="str">
        <x:v>020171800056</x:v>
      </x:c>
      <x:c r="E8" s="54" t="b">
        <x:f>COUNTIF('BOM'!$A$4:$A$531,A8)&gt;0</x:f>
        <x:v>1</x:v>
      </x:c>
      <x:c r="F8" s="54" t="b">
        <x:f>COUNTIF('BOM'!$B$4:$B$531,A8)&gt;0</x:f>
        <x:v>1</x:v>
      </x:c>
      <x:c r="G8" s="54" t="str">
        <x:f>IF(COUNTIF($A$4:$A$431,A8)=1,"OK","DUPLICATE SKU")</x:f>
        <x:v>OK</x:v>
      </x:c>
      <x:c r="H8"/>
    </x:row>
    <x:row r="9">
      <x:c r="A9" s="54" t="str">
        <x:v>QAR-0006</x:v>
      </x:c>
      <x:c r="B9" s="54" t="str">
        <x:v>Ship's Boats Outfit</x:v>
      </x:c>
      <x:c r="C9" s="54" t="str">
        <x:v>BOATSHOP</x:v>
      </x:c>
      <x:c r="D9" s="67" t="str">
        <x:v>020171800063</x:v>
      </x:c>
      <x:c r="E9" s="54" t="b">
        <x:f>COUNTIF('BOM'!$A$4:$A$531,A9)&gt;0</x:f>
        <x:v>1</x:v>
      </x:c>
      <x:c r="F9" s="54" t="b">
        <x:f>COUNTIF('BOM'!$B$4:$B$531,A9)&gt;0</x:f>
        <x:v>1</x:v>
      </x:c>
      <x:c r="G9" s="54" t="str">
        <x:f>IF(COUNTIF($A$4:$A$431,A9)=1,"OK","DUPLICATE SKU")</x:f>
        <x:v>OK</x:v>
      </x:c>
      <x:c r="H9"/>
    </x:row>
    <x:row r="10">
      <x:c r="A10" s="54" t="str">
        <x:v>QAR-0007</x:v>
      </x:c>
      <x:c r="B10" s="54" t="str">
        <x:v>Navigation and Signaling Outfit</x:v>
      </x:c>
      <x:c r="C10" s="54" t="str">
        <x:v>NAVROOM</x:v>
      </x:c>
      <x:c r="D10" s="67" t="str">
        <x:v>020171800070</x:v>
      </x:c>
      <x:c r="E10" s="54" t="b">
        <x:f>COUNTIF('BOM'!$A$4:$A$531,A10)&gt;0</x:f>
        <x:v>1</x:v>
      </x:c>
      <x:c r="F10" s="54" t="b">
        <x:f>COUNTIF('BOM'!$B$4:$B$531,A10)&gt;0</x:f>
        <x:v>1</x:v>
      </x:c>
      <x:c r="G10" s="54" t="str">
        <x:f>IF(COUNTIF($A$4:$A$431,A10)=1,"OK","DUPLICATE SKU")</x:f>
        <x:v>OK</x:v>
      </x:c>
      <x:c r="H10"/>
    </x:row>
    <x:row r="11">
      <x:c r="A11" s="54" t="str">
        <x:v>QAR-0008</x:v>
      </x:c>
      <x:c r="B11" s="54" t="str">
        <x:v>Carpenter and Hull Repair Stores</x:v>
      </x:c>
      <x:c r="C11" s="54" t="str">
        <x:v>CARPENTER</x:v>
      </x:c>
      <x:c r="D11" s="67" t="str">
        <x:v>020171800087</x:v>
      </x:c>
      <x:c r="E11" s="54" t="b">
        <x:f>COUNTIF('BOM'!$A$4:$A$531,A11)&gt;0</x:f>
        <x:v>1</x:v>
      </x:c>
      <x:c r="F11" s="54" t="b">
        <x:f>COUNTIF('BOM'!$B$4:$B$531,A11)&gt;0</x:f>
        <x:v>1</x:v>
      </x:c>
      <x:c r="G11" s="54" t="str">
        <x:f>IF(COUNTIF($A$4:$A$431,A11)=1,"OK","DUPLICATE SKU")</x:f>
        <x:v>OK</x:v>
      </x:c>
      <x:c r="H11"/>
    </x:row>
    <x:row r="12">
      <x:c r="A12" s="54" t="str">
        <x:v>QAR-0009</x:v>
      </x:c>
      <x:c r="B12" s="54" t="str">
        <x:v>Sailmaker and Rigging Repair Stores</x:v>
      </x:c>
      <x:c r="C12" s="54" t="str">
        <x:v>SAILLOFT</x:v>
      </x:c>
      <x:c r="D12" s="67" t="str">
        <x:v>020171800094</x:v>
      </x:c>
      <x:c r="E12" s="54" t="b">
        <x:f>COUNTIF('BOM'!$A$4:$A$531,A12)&gt;0</x:f>
        <x:v>1</x:v>
      </x:c>
      <x:c r="F12" s="54" t="b">
        <x:f>COUNTIF('BOM'!$B$4:$B$531,A12)&gt;0</x:f>
        <x:v>1</x:v>
      </x:c>
      <x:c r="G12" s="54" t="str">
        <x:f>IF(COUNTIF($A$4:$A$431,A12)=1,"OK","DUPLICATE SKU")</x:f>
        <x:v>OK</x:v>
      </x:c>
      <x:c r="H12"/>
    </x:row>
    <x:row r="13">
      <x:c r="A13" s="54" t="str">
        <x:v>QAR-0010</x:v>
      </x:c>
      <x:c r="B13" s="54" t="str">
        <x:v>Surgeon's Sea Chest and Sick Bay</x:v>
      </x:c>
      <x:c r="C13" s="54" t="str">
        <x:v>SURGEON</x:v>
      </x:c>
      <x:c r="D13" s="67" t="str">
        <x:v>020171800100</x:v>
      </x:c>
      <x:c r="E13" s="54" t="b">
        <x:f>COUNTIF('BOM'!$A$4:$A$531,A13)&gt;0</x:f>
        <x:v>1</x:v>
      </x:c>
      <x:c r="F13" s="54" t="b">
        <x:f>COUNTIF('BOM'!$B$4:$B$531,A13)&gt;0</x:f>
        <x:v>1</x:v>
      </x:c>
      <x:c r="G13" s="54" t="str">
        <x:f>IF(COUNTIF($A$4:$A$431,A13)=1,"OK","DUPLICATE SKU")</x:f>
        <x:v>OK</x:v>
      </x:c>
      <x:c r="H13"/>
    </x:row>
    <x:row r="14">
      <x:c r="A14" s="54" t="str">
        <x:v>QAR-0011</x:v>
      </x:c>
      <x:c r="B14" s="54" t="str">
        <x:v>Galley and Mess Outfit</x:v>
      </x:c>
      <x:c r="C14" s="54" t="str">
        <x:v>GALLEY</x:v>
      </x:c>
      <x:c r="D14" s="67" t="str">
        <x:v>020171800117</x:v>
      </x:c>
      <x:c r="E14" s="54" t="b">
        <x:f>COUNTIF('BOM'!$A$4:$A$531,A14)&gt;0</x:f>
        <x:v>1</x:v>
      </x:c>
      <x:c r="F14" s="54" t="b">
        <x:f>COUNTIF('BOM'!$B$4:$B$531,A14)&gt;0</x:f>
        <x:v>1</x:v>
      </x:c>
      <x:c r="G14" s="54" t="str">
        <x:f>IF(COUNTIF($A$4:$A$431,A14)=1,"OK","DUPLICATE SKU")</x:f>
        <x:v>OK</x:v>
      </x:c>
      <x:c r="H14"/>
    </x:row>
    <x:row r="15">
      <x:c r="A15" s="54" t="str">
        <x:v>QAR-0012</x:v>
      </x:c>
      <x:c r="B15" s="54" t="str">
        <x:v>Thirty-Day Voyage Provisions for 300</x:v>
      </x:c>
      <x:c r="C15" s="54" t="str">
        <x:v>QUARTER</x:v>
      </x:c>
      <x:c r="D15" s="67" t="str">
        <x:v>020171800124</x:v>
      </x:c>
      <x:c r="E15" s="54" t="b">
        <x:f>COUNTIF('BOM'!$A$4:$A$531,A15)&gt;0</x:f>
        <x:v>1</x:v>
      </x:c>
      <x:c r="F15" s="54" t="b">
        <x:f>COUNTIF('BOM'!$B$4:$B$531,A15)&gt;0</x:f>
        <x:v>1</x:v>
      </x:c>
      <x:c r="G15" s="54" t="str">
        <x:f>IF(COUNTIF($A$4:$A$431,A15)=1,"OK","DUPLICATE SKU")</x:f>
        <x:v>OK</x:v>
      </x:c>
      <x:c r="H15"/>
    </x:row>
    <x:row r="16">
      <x:c r="A16" s="54" t="str">
        <x:v>QAR-0013</x:v>
      </x:c>
      <x:c r="B16" s="54" t="str">
        <x:v>Crew Issue and Berthing Outfit for 300</x:v>
      </x:c>
      <x:c r="C16" s="54" t="str">
        <x:v>QUARTER</x:v>
      </x:c>
      <x:c r="D16" s="67" t="str">
        <x:v>020171800131</x:v>
      </x:c>
      <x:c r="E16" s="54" t="b">
        <x:f>COUNTIF('BOM'!$A$4:$A$531,A16)&gt;0</x:f>
        <x:v>1</x:v>
      </x:c>
      <x:c r="F16" s="54" t="b">
        <x:f>COUNTIF('BOM'!$B$4:$B$531,A16)&gt;0</x:f>
        <x:v>1</x:v>
      </x:c>
      <x:c r="G16" s="54" t="str">
        <x:f>IF(COUNTIF($A$4:$A$431,A16)=1,"OK","DUPLICATE SKU")</x:f>
        <x:v>OK</x:v>
      </x:c>
      <x:c r="H16"/>
    </x:row>
    <x:row r="17">
      <x:c r="A17" s="54" t="str">
        <x:v>QAR-0014</x:v>
      </x:c>
      <x:c r="B17" s="54" t="str">
        <x:v>Captain and Quartermaster Cabin Outfit</x:v>
      </x:c>
      <x:c r="C17" s="54" t="str">
        <x:v>QUARTER</x:v>
      </x:c>
      <x:c r="D17" s="67" t="str">
        <x:v>020171800148</x:v>
      </x:c>
      <x:c r="E17" s="54" t="b">
        <x:f>COUNTIF('BOM'!$A$4:$A$531,A17)&gt;0</x:f>
        <x:v>1</x:v>
      </x:c>
      <x:c r="F17" s="54" t="b">
        <x:f>COUNTIF('BOM'!$B$4:$B$531,A17)&gt;0</x:f>
        <x:v>1</x:v>
      </x:c>
      <x:c r="G17" s="54" t="str">
        <x:f>IF(COUNTIF($A$4:$A$431,A17)=1,"OK","DUPLICATE SKU")</x:f>
        <x:v>OK</x:v>
      </x:c>
      <x:c r="H17"/>
    </x:row>
    <x:row r="18">
      <x:c r="A18" s="54" t="str">
        <x:v>QAR-0015</x:v>
      </x:c>
      <x:c r="B18" s="54" t="str">
        <x:v>Fire, Flood and Emergency Outfit</x:v>
      </x:c>
      <x:c r="C18" s="54" t="str">
        <x:v>BOATSWAIN</x:v>
      </x:c>
      <x:c r="D18" s="67" t="str">
        <x:v>020171800155</x:v>
      </x:c>
      <x:c r="E18" s="54" t="b">
        <x:f>COUNTIF('BOM'!$A$4:$A$531,A18)&gt;0</x:f>
        <x:v>1</x:v>
      </x:c>
      <x:c r="F18" s="54" t="b">
        <x:f>COUNTIF('BOM'!$B$4:$B$531,A18)&gt;0</x:f>
        <x:v>1</x:v>
      </x:c>
      <x:c r="G18" s="54" t="str">
        <x:f>IF(COUNTIF($A$4:$A$431,A18)=1,"OK","DUPLICATE SKU")</x:f>
        <x:v>OK</x:v>
      </x:c>
      <x:c r="H18"/>
    </x:row>
    <x:row r="19">
      <x:c r="A19" s="54" t="str">
        <x:v>QAR-0016</x:v>
      </x:c>
      <x:c r="B19" s="54" t="str">
        <x:v>Reconstruction Label and Inspection Stock</x:v>
      </x:c>
      <x:c r="C19" s="54" t="str">
        <x:v>LABELSHOP</x:v>
      </x:c>
      <x:c r="D19" s="67" t="str">
        <x:v>020171800162</x:v>
      </x:c>
      <x:c r="E19" s="54" t="b">
        <x:f>COUNTIF('BOM'!$A$4:$A$531,A19)&gt;0</x:f>
        <x:v>1</x:v>
      </x:c>
      <x:c r="F19" s="54" t="b">
        <x:f>COUNTIF('BOM'!$B$4:$B$531,A19)&gt;0</x:f>
        <x:v>1</x:v>
      </x:c>
      <x:c r="G19" s="54" t="str">
        <x:f>IF(COUNTIF($A$4:$A$431,A19)=1,"OK","DUPLICATE SKU")</x:f>
        <x:v>OK</x:v>
      </x:c>
      <x:c r="H19"/>
    </x:row>
    <x:row r="20">
      <x:c r="A20" s="54" t="str">
        <x:v>QAR-0017</x:v>
      </x:c>
      <x:c r="B20" s="54" t="str">
        <x:v>Hull Structure Assembly</x:v>
      </x:c>
      <x:c r="C20" s="54" t="str">
        <x:v>SHIPWRIGHT</x:v>
      </x:c>
      <x:c r="D20" s="67" t="str">
        <x:v>020171800179</x:v>
      </x:c>
      <x:c r="E20" s="54" t="b">
        <x:f>COUNTIF('BOM'!$A$4:$A$531,A20)&gt;0</x:f>
        <x:v>1</x:v>
      </x:c>
      <x:c r="F20" s="54" t="b">
        <x:f>COUNTIF('BOM'!$B$4:$B$531,A20)&gt;0</x:f>
        <x:v>1</x:v>
      </x:c>
      <x:c r="G20" s="54" t="str">
        <x:f>IF(COUNTIF($A$4:$A$431,A20)=1,"OK","DUPLICATE SKU")</x:f>
        <x:v>OK</x:v>
      </x:c>
      <x:c r="H20"/>
    </x:row>
    <x:row r="21">
      <x:c r="A21" s="54" t="str">
        <x:v>OFT-0001</x:v>
      </x:c>
      <x:c r="B21" s="54" t="str">
        <x:v>Deck Machinery and Fittings Outfit</x:v>
      </x:c>
      <x:c r="C21" s="54" t="str">
        <x:v>SHIPWRIGHT</x:v>
      </x:c>
      <x:c r="D21" s="67" t="str">
        <x:v>020171800186</x:v>
      </x:c>
      <x:c r="E21" s="54" t="b">
        <x:f>COUNTIF('BOM'!$A$4:$A$531,A21)&gt;0</x:f>
        <x:v>1</x:v>
      </x:c>
      <x:c r="F21" s="54" t="b">
        <x:f>COUNTIF('BOM'!$B$4:$B$531,A21)&gt;0</x:f>
        <x:v>1</x:v>
      </x:c>
      <x:c r="G21" s="54" t="str">
        <x:f>IF(COUNTIF($A$4:$A$431,A21)=1,"OK","DUPLICATE SKU")</x:f>
        <x:v>OK</x:v>
      </x:c>
      <x:c r="H21"/>
    </x:row>
    <x:row r="22">
      <x:c r="A22" s="54" t="str">
        <x:v>QAR-0018</x:v>
      </x:c>
      <x:c r="B22" s="54" t="str">
        <x:v>Rudder and Steering Assembly</x:v>
      </x:c>
      <x:c r="C22" s="54" t="str">
        <x:v>SHIPWRIGHT</x:v>
      </x:c>
      <x:c r="D22" s="67" t="str">
        <x:v>020171800193</x:v>
      </x:c>
      <x:c r="E22" s="54" t="b">
        <x:f>COUNTIF('BOM'!$A$4:$A$531,A22)&gt;0</x:f>
        <x:v>1</x:v>
      </x:c>
      <x:c r="F22" s="54" t="b">
        <x:f>COUNTIF('BOM'!$B$4:$B$531,A22)&gt;0</x:f>
        <x:v>1</x:v>
      </x:c>
      <x:c r="G22" s="54" t="str">
        <x:f>IF(COUNTIF($A$4:$A$431,A22)=1,"OK","DUPLICATE SKU")</x:f>
        <x:v>OK</x:v>
      </x:c>
      <x:c r="H22"/>
    </x:row>
    <x:row r="23">
      <x:c r="A23" s="54" t="str">
        <x:v>OFT-0002</x:v>
      </x:c>
      <x:c r="B23" s="54" t="str">
        <x:v>Bilge, Pump and Drainage Outfit</x:v>
      </x:c>
      <x:c r="C23" s="54" t="str">
        <x:v>SHIPWRIGHT</x:v>
      </x:c>
      <x:c r="D23" s="67" t="str">
        <x:v>020171800209</x:v>
      </x:c>
      <x:c r="E23" s="54" t="b">
        <x:f>COUNTIF('BOM'!$A$4:$A$531,A23)&gt;0</x:f>
        <x:v>1</x:v>
      </x:c>
      <x:c r="F23" s="54" t="b">
        <x:f>COUNTIF('BOM'!$B$4:$B$531,A23)&gt;0</x:f>
        <x:v>1</x:v>
      </x:c>
      <x:c r="G23" s="54" t="str">
        <x:f>IF(COUNTIF($A$4:$A$431,A23)=1,"OK","DUPLICATE SKU")</x:f>
        <x:v>OK</x:v>
      </x:c>
      <x:c r="H23"/>
    </x:row>
    <x:row r="24">
      <x:c r="A24" s="54" t="str">
        <x:v>OFT-0003</x:v>
      </x:c>
      <x:c r="B24" s="54" t="str">
        <x:v>Ballast Distribution Outfit</x:v>
      </x:c>
      <x:c r="C24" s="54" t="str">
        <x:v>SHIPWRIGHT</x:v>
      </x:c>
      <x:c r="D24" s="67" t="str">
        <x:v>020171800216</x:v>
      </x:c>
      <x:c r="E24" s="54" t="b">
        <x:f>COUNTIF('BOM'!$A$4:$A$531,A24)&gt;0</x:f>
        <x:v>1</x:v>
      </x:c>
      <x:c r="F24" s="54" t="b">
        <x:f>COUNTIF('BOM'!$B$4:$B$531,A24)&gt;0</x:f>
        <x:v>1</x:v>
      </x:c>
      <x:c r="G24" s="54" t="str">
        <x:f>IF(COUNTIF($A$4:$A$431,A24)=1,"OK","DUPLICATE SKU")</x:f>
        <x:v>OK</x:v>
      </x:c>
      <x:c r="H24"/>
    </x:row>
    <x:row r="25">
      <x:c r="A25" s="54" t="str">
        <x:v>QAR-0019</x:v>
      </x:c>
      <x:c r="B25" s="54" t="str">
        <x:v>Keel and Keelson Assembly</x:v>
      </x:c>
      <x:c r="C25" s="54" t="str">
        <x:v>SHIPWRIGHT</x:v>
      </x:c>
      <x:c r="D25" s="67" t="str">
        <x:v>020171800223</x:v>
      </x:c>
      <x:c r="E25" s="54" t="b">
        <x:f>COUNTIF('BOM'!$A$4:$A$531,A25)&gt;0</x:f>
        <x:v>0</x:v>
      </x:c>
      <x:c r="F25" s="54" t="b">
        <x:f>COUNTIF('BOM'!$B$4:$B$531,A25)&gt;0</x:f>
        <x:v>1</x:v>
      </x:c>
      <x:c r="G25" s="54" t="str">
        <x:f>IF(COUNTIF($A$4:$A$431,A25)=1,"OK","DUPLICATE SKU")</x:f>
        <x:v>OK</x:v>
      </x:c>
      <x:c r="H25"/>
    </x:row>
    <x:row r="26">
      <x:c r="A26" s="54" t="str">
        <x:v>QAR-0020</x:v>
      </x:c>
      <x:c r="B26" s="54" t="str">
        <x:v>Paired Frame Component Set</x:v>
      </x:c>
      <x:c r="C26" s="54" t="str">
        <x:v>SHIPWRIGHT</x:v>
      </x:c>
      <x:c r="D26" s="67" t="str">
        <x:v>020171800230</x:v>
      </x:c>
      <x:c r="E26" s="54" t="b">
        <x:f>COUNTIF('BOM'!$A$4:$A$531,A26)&gt;0</x:f>
        <x:v>0</x:v>
      </x:c>
      <x:c r="F26" s="54" t="b">
        <x:f>COUNTIF('BOM'!$B$4:$B$531,A26)&gt;0</x:f>
        <x:v>1</x:v>
      </x:c>
      <x:c r="G26" s="54" t="str">
        <x:f>IF(COUNTIF($A$4:$A$431,A26)=1,"OK","DUPLICATE SKU")</x:f>
        <x:v>OK</x:v>
      </x:c>
      <x:c r="H26"/>
    </x:row>
    <x:row r="27">
      <x:c r="A27" s="54" t="str">
        <x:v>QAR-0021</x:v>
      </x:c>
      <x:c r="B27" s="54" t="str">
        <x:v>Outer Hull Planking Set</x:v>
      </x:c>
      <x:c r="C27" s="54" t="str">
        <x:v>SHIPWRIGHT</x:v>
      </x:c>
      <x:c r="D27" s="67" t="str">
        <x:v>020171800247</x:v>
      </x:c>
      <x:c r="E27" s="54" t="b">
        <x:f>COUNTIF('BOM'!$A$4:$A$531,A27)&gt;0</x:f>
        <x:v>0</x:v>
      </x:c>
      <x:c r="F27" s="54" t="b">
        <x:f>COUNTIF('BOM'!$B$4:$B$531,A27)&gt;0</x:f>
        <x:v>1</x:v>
      </x:c>
      <x:c r="G27" s="54" t="str">
        <x:f>IF(COUNTIF($A$4:$A$431,A27)=1,"OK","DUPLICATE SKU")</x:f>
        <x:v>OK</x:v>
      </x:c>
      <x:c r="H27"/>
    </x:row>
    <x:row r="28">
      <x:c r="A28" s="54" t="str">
        <x:v>QAR-0022</x:v>
      </x:c>
      <x:c r="B28" s="54" t="str">
        <x:v>Sacrificial Hull Sheathing Set</x:v>
      </x:c>
      <x:c r="C28" s="54" t="str">
        <x:v>SHIPWRIGHT</x:v>
      </x:c>
      <x:c r="D28" s="67" t="str">
        <x:v>020171800254</x:v>
      </x:c>
      <x:c r="E28" s="54" t="b">
        <x:f>COUNTIF('BOM'!$A$4:$A$531,A28)&gt;0</x:f>
        <x:v>0</x:v>
      </x:c>
      <x:c r="F28" s="54" t="b">
        <x:f>COUNTIF('BOM'!$B$4:$B$531,A28)&gt;0</x:f>
        <x:v>1</x:v>
      </x:c>
      <x:c r="G28" s="54" t="str">
        <x:f>IF(COUNTIF($A$4:$A$431,A28)=1,"OK","DUPLICATE SKU")</x:f>
        <x:v>OK</x:v>
      </x:c>
      <x:c r="H28"/>
    </x:row>
    <x:row r="29">
      <x:c r="A29" s="54" t="str">
        <x:v>KIT-0001</x:v>
      </x:c>
      <x:c r="B29" s="54" t="str">
        <x:v>Hull Fastener Lot</x:v>
      </x:c>
      <x:c r="C29" s="54" t="str">
        <x:v>SHIPWRIGHT</x:v>
      </x:c>
      <x:c r="D29" s="67" t="str">
        <x:v>020171800261</x:v>
      </x:c>
      <x:c r="E29" s="54" t="b">
        <x:f>COUNTIF('BOM'!$A$4:$A$531,A29)&gt;0</x:f>
        <x:v>1</x:v>
      </x:c>
      <x:c r="F29" s="54" t="b">
        <x:f>COUNTIF('BOM'!$B$4:$B$531,A29)&gt;0</x:f>
        <x:v>1</x:v>
      </x:c>
      <x:c r="G29" s="54" t="str">
        <x:f>IF(COUNTIF($A$4:$A$431,A29)=1,"OK","DUPLICATE SKU")</x:f>
        <x:v>OK</x:v>
      </x:c>
      <x:c r="H29"/>
    </x:row>
    <x:row r="30">
      <x:c r="A30" s="54" t="str">
        <x:v>PRT-0001</x:v>
      </x:c>
      <x:c r="B30" s="54" t="str">
        <x:v>Oak Treenail</x:v>
      </x:c>
      <x:c r="C30" s="54" t="str">
        <x:v>SHIPWRIGHT</x:v>
      </x:c>
      <x:c r="D30" s="67" t="str">
        <x:v>020171800278</x:v>
      </x:c>
      <x:c r="E30" s="54" t="b">
        <x:f>COUNTIF('BOM'!$A$4:$A$531,A30)&gt;0</x:f>
        <x:v>0</x:v>
      </x:c>
      <x:c r="F30" s="54" t="b">
        <x:f>COUNTIF('BOM'!$B$4:$B$531,A30)&gt;0</x:f>
        <x:v>1</x:v>
      </x:c>
      <x:c r="G30" s="54" t="str">
        <x:f>IF(COUNTIF($A$4:$A$431,A30)=1,"OK","DUPLICATE SKU")</x:f>
        <x:v>OK</x:v>
      </x:c>
      <x:c r="H30"/>
    </x:row>
    <x:row r="31">
      <x:c r="A31" s="54" t="str">
        <x:v>PRT-0002</x:v>
      </x:c>
      <x:c r="B31" s="54" t="str">
        <x:v>Large Wrought-Iron Hull Spike</x:v>
      </x:c>
      <x:c r="C31" s="54" t="str">
        <x:v>SHIPWRIGHT</x:v>
      </x:c>
      <x:c r="D31" s="67" t="str">
        <x:v>020171800285</x:v>
      </x:c>
      <x:c r="E31" s="54" t="b">
        <x:f>COUNTIF('BOM'!$A$4:$A$531,A31)&gt;0</x:f>
        <x:v>0</x:v>
      </x:c>
      <x:c r="F31" s="54" t="b">
        <x:f>COUNTIF('BOM'!$B$4:$B$531,A31)&gt;0</x:f>
        <x:v>1</x:v>
      </x:c>
      <x:c r="G31" s="54" t="str">
        <x:f>IF(COUNTIF($A$4:$A$431,A31)=1,"OK","DUPLICATE SKU")</x:f>
        <x:v>OK</x:v>
      </x:c>
      <x:c r="H31"/>
    </x:row>
    <x:row r="32">
      <x:c r="A32" s="54" t="str">
        <x:v>PRT-0003</x:v>
      </x:c>
      <x:c r="B32" s="54" t="str">
        <x:v>Iron Drift Pin</x:v>
      </x:c>
      <x:c r="C32" s="54" t="str">
        <x:v>SHIPWRIGHT</x:v>
      </x:c>
      <x:c r="D32" s="67" t="str">
        <x:v>020171800292</x:v>
      </x:c>
      <x:c r="E32" s="54" t="b">
        <x:f>COUNTIF('BOM'!$A$4:$A$531,A32)&gt;0</x:f>
        <x:v>0</x:v>
      </x:c>
      <x:c r="F32" s="54" t="b">
        <x:f>COUNTIF('BOM'!$B$4:$B$531,A32)&gt;0</x:f>
        <x:v>1</x:v>
      </x:c>
      <x:c r="G32" s="54" t="str">
        <x:f>IF(COUNTIF($A$4:$A$431,A32)=1,"OK","DUPLICATE SKU")</x:f>
        <x:v>OK</x:v>
      </x:c>
      <x:c r="H32"/>
    </x:row>
    <x:row r="33">
      <x:c r="A33" s="54" t="str">
        <x:v>PRT-0004</x:v>
      </x:c>
      <x:c r="B33" s="54" t="str">
        <x:v>Hull Sealing Lead Strip</x:v>
      </x:c>
      <x:c r="C33" s="54" t="str">
        <x:v>SHIPWRIGHT</x:v>
      </x:c>
      <x:c r="D33" s="67" t="str">
        <x:v>020171800308</x:v>
      </x:c>
      <x:c r="E33" s="54" t="b">
        <x:f>COUNTIF('BOM'!$A$4:$A$531,A33)&gt;0</x:f>
        <x:v>0</x:v>
      </x:c>
      <x:c r="F33" s="54" t="b">
        <x:f>COUNTIF('BOM'!$B$4:$B$531,A33)&gt;0</x:f>
        <x:v>1</x:v>
      </x:c>
      <x:c r="G33" s="54" t="str">
        <x:f>IF(COUNTIF($A$4:$A$431,A33)=1,"OK","DUPLICATE SKU")</x:f>
        <x:v>OK</x:v>
      </x:c>
      <x:c r="H33"/>
    </x:row>
    <x:row r="34">
      <x:c r="A34" s="54" t="str">
        <x:v>ASM-0001</x:v>
      </x:c>
      <x:c r="B34" s="54" t="str">
        <x:v>Main Capstan Assembly</x:v>
      </x:c>
      <x:c r="C34" s="54" t="str">
        <x:v>SHIPWRIGHT</x:v>
      </x:c>
      <x:c r="D34" s="67" t="str">
        <x:v>020171800315</x:v>
      </x:c>
      <x:c r="E34" s="54" t="b">
        <x:f>COUNTIF('BOM'!$A$4:$A$531,A34)&gt;0</x:f>
        <x:v>1</x:v>
      </x:c>
      <x:c r="F34" s="54" t="b">
        <x:f>COUNTIF('BOM'!$B$4:$B$531,A34)&gt;0</x:f>
        <x:v>1</x:v>
      </x:c>
      <x:c r="G34" s="54" t="str">
        <x:f>IF(COUNTIF($A$4:$A$431,A34)=1,"OK","DUPLICATE SKU")</x:f>
        <x:v>OK</x:v>
      </x:c>
      <x:c r="H34"/>
    </x:row>
    <x:row r="35">
      <x:c r="A35" s="54" t="str">
        <x:v>ASM-0002</x:v>
      </x:c>
      <x:c r="B35" s="54" t="str">
        <x:v>Foredeck Windlass Assembly</x:v>
      </x:c>
      <x:c r="C35" s="54" t="str">
        <x:v>SHIPWRIGHT</x:v>
      </x:c>
      <x:c r="D35" s="67" t="str">
        <x:v>020171800322</x:v>
      </x:c>
      <x:c r="E35" s="54" t="b">
        <x:f>COUNTIF('BOM'!$A$4:$A$531,A35)&gt;0</x:f>
        <x:v>1</x:v>
      </x:c>
      <x:c r="F35" s="54" t="b">
        <x:f>COUNTIF('BOM'!$B$4:$B$531,A35)&gt;0</x:f>
        <x:v>1</x:v>
      </x:c>
      <x:c r="G35" s="54" t="str">
        <x:f>IF(COUNTIF($A$4:$A$431,A35)=1,"OK","DUPLICATE SKU")</x:f>
        <x:v>OK</x:v>
      </x:c>
      <x:c r="H35"/>
    </x:row>
    <x:row r="36">
      <x:c r="A36" s="54" t="str">
        <x:v>ASM-0003</x:v>
      </x:c>
      <x:c r="B36" s="54" t="str">
        <x:v>Removable Hatch Grating</x:v>
      </x:c>
      <x:c r="C36" s="54" t="str">
        <x:v>SHIPWRIGHT</x:v>
      </x:c>
      <x:c r="D36" s="67" t="str">
        <x:v>020171800339</x:v>
      </x:c>
      <x:c r="E36" s="54" t="b">
        <x:f>COUNTIF('BOM'!$A$4:$A$531,A36)&gt;0</x:f>
        <x:v>0</x:v>
      </x:c>
      <x:c r="F36" s="54" t="b">
        <x:f>COUNTIF('BOM'!$B$4:$B$531,A36)&gt;0</x:f>
        <x:v>1</x:v>
      </x:c>
      <x:c r="G36" s="54" t="str">
        <x:f>IF(COUNTIF($A$4:$A$431,A36)=1,"OK","DUPLICATE SKU")</x:f>
        <x:v>OK</x:v>
      </x:c>
      <x:c r="H36"/>
    </x:row>
    <x:row r="37">
      <x:c r="A37" s="54" t="str">
        <x:v>ASM-0004</x:v>
      </x:c>
      <x:c r="B37" s="54" t="str">
        <x:v>Deck Ladder Assembly</x:v>
      </x:c>
      <x:c r="C37" s="54" t="str">
        <x:v>SHIPWRIGHT</x:v>
      </x:c>
      <x:c r="D37" s="67" t="str">
        <x:v>020171800346</x:v>
      </x:c>
      <x:c r="E37" s="54" t="b">
        <x:f>COUNTIF('BOM'!$A$4:$A$531,A37)&gt;0</x:f>
        <x:v>0</x:v>
      </x:c>
      <x:c r="F37" s="54" t="b">
        <x:f>COUNTIF('BOM'!$B$4:$B$531,A37)&gt;0</x:f>
        <x:v>1</x:v>
      </x:c>
      <x:c r="G37" s="54" t="str">
        <x:f>IF(COUNTIF($A$4:$A$431,A37)=1,"OK","DUPLICATE SKU")</x:f>
        <x:v>OK</x:v>
      </x:c>
      <x:c r="H37"/>
    </x:row>
    <x:row r="38">
      <x:c r="A38" s="54" t="str">
        <x:v>KIT-0002</x:v>
      </x:c>
      <x:c r="B38" s="54" t="str">
        <x:v>Rail Hook and Ring Fitting Set</x:v>
      </x:c>
      <x:c r="C38" s="54" t="str">
        <x:v>SHIPWRIGHT</x:v>
      </x:c>
      <x:c r="D38" s="67" t="str">
        <x:v>020171800353</x:v>
      </x:c>
      <x:c r="E38" s="54" t="b">
        <x:f>COUNTIF('BOM'!$A$4:$A$531,A38)&gt;0</x:f>
        <x:v>1</x:v>
      </x:c>
      <x:c r="F38" s="54" t="b">
        <x:f>COUNTIF('BOM'!$B$4:$B$531,A38)&gt;0</x:f>
        <x:v>1</x:v>
      </x:c>
      <x:c r="G38" s="54" t="str">
        <x:f>IF(COUNTIF($A$4:$A$431,A38)=1,"OK","DUPLICATE SKU")</x:f>
        <x:v>OK</x:v>
      </x:c>
      <x:c r="H38"/>
    </x:row>
    <x:row r="39">
      <x:c r="A39" s="54" t="str">
        <x:v>PRT-0005</x:v>
      </x:c>
      <x:c r="B39" s="54" t="str">
        <x:v>Ship's Bell</x:v>
      </x:c>
      <x:c r="C39" s="54" t="str">
        <x:v>SHIPWRIGHT</x:v>
      </x:c>
      <x:c r="D39" s="67" t="str">
        <x:v>020171800360</x:v>
      </x:c>
      <x:c r="E39" s="54" t="b">
        <x:f>COUNTIF('BOM'!$A$4:$A$531,A39)&gt;0</x:f>
        <x:v>0</x:v>
      </x:c>
      <x:c r="F39" s="54" t="b">
        <x:f>COUNTIF('BOM'!$B$4:$B$531,A39)&gt;0</x:f>
        <x:v>1</x:v>
      </x:c>
      <x:c r="G39" s="54" t="str">
        <x:f>IF(COUNTIF($A$4:$A$431,A39)=1,"OK","DUPLICATE SKU")</x:f>
        <x:v>OK</x:v>
      </x:c>
      <x:c r="H39"/>
    </x:row>
    <x:row r="40">
      <x:c r="A40" s="54" t="str">
        <x:v>ASM-0005</x:v>
      </x:c>
      <x:c r="B40" s="54" t="str">
        <x:v>Seat of Ease</x:v>
      </x:c>
      <x:c r="C40" s="54" t="str">
        <x:v>SHIPWRIGHT</x:v>
      </x:c>
      <x:c r="D40" s="67" t="str">
        <x:v>020171800377</x:v>
      </x:c>
      <x:c r="E40" s="54" t="b">
        <x:f>COUNTIF('BOM'!$A$4:$A$531,A40)&gt;0</x:f>
        <x:v>0</x:v>
      </x:c>
      <x:c r="F40" s="54" t="b">
        <x:f>COUNTIF('BOM'!$B$4:$B$531,A40)&gt;0</x:f>
        <x:v>1</x:v>
      </x:c>
      <x:c r="G40" s="54" t="str">
        <x:f>IF(COUNTIF($A$4:$A$431,A40)=1,"OK","DUPLICATE SKU")</x:f>
        <x:v>OK</x:v>
      </x:c>
      <x:c r="H40"/>
    </x:row>
    <x:row r="41">
      <x:c r="A41" s="54" t="str">
        <x:v>PRT-0006</x:v>
      </x:c>
      <x:c r="B41" s="54" t="str">
        <x:v>Wrought-Iron Utility Hook</x:v>
      </x:c>
      <x:c r="C41" s="54" t="str">
        <x:v>SHIPWRIGHT</x:v>
      </x:c>
      <x:c r="D41" s="67" t="str">
        <x:v>020171800384</x:v>
      </x:c>
      <x:c r="E41" s="54" t="b">
        <x:f>COUNTIF('BOM'!$A$4:$A$531,A41)&gt;0</x:f>
        <x:v>0</x:v>
      </x:c>
      <x:c r="F41" s="54" t="b">
        <x:f>COUNTIF('BOM'!$B$4:$B$531,A41)&gt;0</x:f>
        <x:v>1</x:v>
      </x:c>
      <x:c r="G41" s="54" t="str">
        <x:f>IF(COUNTIF($A$4:$A$431,A41)=1,"OK","DUPLICATE SKU")</x:f>
        <x:v>OK</x:v>
      </x:c>
      <x:c r="H41"/>
    </x:row>
    <x:row r="42">
      <x:c r="A42" s="54" t="str">
        <x:v>PRT-0007</x:v>
      </x:c>
      <x:c r="B42" s="54" t="str">
        <x:v>Wrought-Iron Ring Bolt</x:v>
      </x:c>
      <x:c r="C42" s="54" t="str">
        <x:v>SHIPWRIGHT</x:v>
      </x:c>
      <x:c r="D42" s="67" t="str">
        <x:v>020171800391</x:v>
      </x:c>
      <x:c r="E42" s="54" t="b">
        <x:f>COUNTIF('BOM'!$A$4:$A$531,A42)&gt;0</x:f>
        <x:v>0</x:v>
      </x:c>
      <x:c r="F42" s="54" t="b">
        <x:f>COUNTIF('BOM'!$B$4:$B$531,A42)&gt;0</x:f>
        <x:v>1</x:v>
      </x:c>
      <x:c r="G42" s="54" t="str">
        <x:f>IF(COUNTIF($A$4:$A$431,A42)=1,"OK","DUPLICATE SKU")</x:f>
        <x:v>OK</x:v>
      </x:c>
      <x:c r="H42"/>
    </x:row>
    <x:row r="43">
      <x:c r="A43" s="54" t="str">
        <x:v>PRT-0008</x:v>
      </x:c>
      <x:c r="B43" s="54" t="str">
        <x:v>Capstan Bar</x:v>
      </x:c>
      <x:c r="C43" s="54" t="str">
        <x:v>SHIPWRIGHT</x:v>
      </x:c>
      <x:c r="D43" s="67" t="str">
        <x:v>020171800407</x:v>
      </x:c>
      <x:c r="E43" s="54" t="b">
        <x:f>COUNTIF('BOM'!$A$4:$A$531,A43)&gt;0</x:f>
        <x:v>0</x:v>
      </x:c>
      <x:c r="F43" s="54" t="b">
        <x:f>COUNTIF('BOM'!$B$4:$B$531,A43)&gt;0</x:f>
        <x:v>1</x:v>
      </x:c>
      <x:c r="G43" s="54" t="str">
        <x:f>IF(COUNTIF($A$4:$A$431,A43)=1,"OK","DUPLICATE SKU")</x:f>
        <x:v>OK</x:v>
      </x:c>
      <x:c r="H43"/>
    </x:row>
    <x:row r="44">
      <x:c r="A44" s="54" t="str">
        <x:v>PRT-0009</x:v>
      </x:c>
      <x:c r="B44" s="54" t="str">
        <x:v>Windlass Handspike</x:v>
      </x:c>
      <x:c r="C44" s="54" t="str">
        <x:v>SHIPWRIGHT</x:v>
      </x:c>
      <x:c r="D44" s="67" t="str">
        <x:v>020171800414</x:v>
      </x:c>
      <x:c r="E44" s="54" t="b">
        <x:f>COUNTIF('BOM'!$A$4:$A$531,A44)&gt;0</x:f>
        <x:v>0</x:v>
      </x:c>
      <x:c r="F44" s="54" t="b">
        <x:f>COUNTIF('BOM'!$B$4:$B$531,A44)&gt;0</x:f>
        <x:v>1</x:v>
      </x:c>
      <x:c r="G44" s="54" t="str">
        <x:f>IF(COUNTIF($A$4:$A$431,A44)=1,"OK","DUPLICATE SKU")</x:f>
        <x:v>OK</x:v>
      </x:c>
      <x:c r="H44"/>
    </x:row>
    <x:row r="45">
      <x:c r="A45" s="54" t="str">
        <x:v>QAR-0023</x:v>
      </x:c>
      <x:c r="B45" s="54" t="str">
        <x:v>Rudder Blade and Stock</x:v>
      </x:c>
      <x:c r="C45" s="54" t="str">
        <x:v>SHIPWRIGHT</x:v>
      </x:c>
      <x:c r="D45" s="67" t="str">
        <x:v>020171800421</x:v>
      </x:c>
      <x:c r="E45" s="54" t="b">
        <x:f>COUNTIF('BOM'!$A$4:$A$531,A45)&gt;0</x:f>
        <x:v>0</x:v>
      </x:c>
      <x:c r="F45" s="54" t="b">
        <x:f>COUNTIF('BOM'!$B$4:$B$531,A45)&gt;0</x:f>
        <x:v>1</x:v>
      </x:c>
      <x:c r="G45" s="54" t="str">
        <x:f>IF(COUNTIF($A$4:$A$431,A45)=1,"OK","DUPLICATE SKU")</x:f>
        <x:v>OK</x:v>
      </x:c>
      <x:c r="H45"/>
    </x:row>
    <x:row r="46">
      <x:c r="A46" s="54" t="str">
        <x:v>QAR-0024</x:v>
      </x:c>
      <x:c r="B46" s="54" t="str">
        <x:v>Tiller Assembly</x:v>
      </x:c>
      <x:c r="C46" s="54" t="str">
        <x:v>SHIPWRIGHT</x:v>
      </x:c>
      <x:c r="D46" s="67" t="str">
        <x:v>020171800438</x:v>
      </x:c>
      <x:c r="E46" s="54" t="b">
        <x:f>COUNTIF('BOM'!$A$4:$A$531,A46)&gt;0</x:f>
        <x:v>0</x:v>
      </x:c>
      <x:c r="F46" s="54" t="b">
        <x:f>COUNTIF('BOM'!$B$4:$B$531,A46)&gt;0</x:f>
        <x:v>1</x:v>
      </x:c>
      <x:c r="G46" s="54" t="str">
        <x:f>IF(COUNTIF($A$4:$A$431,A46)=1,"OK","DUPLICATE SKU")</x:f>
        <x:v>OK</x:v>
      </x:c>
      <x:c r="H46"/>
    </x:row>
    <x:row r="47">
      <x:c r="A47" s="54" t="str">
        <x:v>PRT-0010</x:v>
      </x:c>
      <x:c r="B47" s="54" t="str">
        <x:v>Iron Rudder Pintle</x:v>
      </x:c>
      <x:c r="C47" s="54" t="str">
        <x:v>SHIPWRIGHT</x:v>
      </x:c>
      <x:c r="D47" s="67" t="str">
        <x:v>020171800445</x:v>
      </x:c>
      <x:c r="E47" s="54" t="b">
        <x:f>COUNTIF('BOM'!$A$4:$A$531,A47)&gt;0</x:f>
        <x:v>0</x:v>
      </x:c>
      <x:c r="F47" s="54" t="b">
        <x:f>COUNTIF('BOM'!$B$4:$B$531,A47)&gt;0</x:f>
        <x:v>1</x:v>
      </x:c>
      <x:c r="G47" s="54" t="str">
        <x:f>IF(COUNTIF($A$4:$A$431,A47)=1,"OK","DUPLICATE SKU")</x:f>
        <x:v>OK</x:v>
      </x:c>
      <x:c r="H47"/>
    </x:row>
    <x:row r="48">
      <x:c r="A48" s="54" t="str">
        <x:v>PRT-0011</x:v>
      </x:c>
      <x:c r="B48" s="54" t="str">
        <x:v>Iron Rudder Gudgeon</x:v>
      </x:c>
      <x:c r="C48" s="54" t="str">
        <x:v>SHIPWRIGHT</x:v>
      </x:c>
      <x:c r="D48" s="67" t="str">
        <x:v>020171800452</x:v>
      </x:c>
      <x:c r="E48" s="54" t="b">
        <x:f>COUNTIF('BOM'!$A$4:$A$531,A48)&gt;0</x:f>
        <x:v>0</x:v>
      </x:c>
      <x:c r="F48" s="54" t="b">
        <x:f>COUNTIF('BOM'!$B$4:$B$531,A48)&gt;0</x:f>
        <x:v>1</x:v>
      </x:c>
      <x:c r="G48" s="54" t="str">
        <x:f>IF(COUNTIF($A$4:$A$431,A48)=1,"OK","DUPLICATE SKU")</x:f>
        <x:v>OK</x:v>
      </x:c>
      <x:c r="H48"/>
    </x:row>
    <x:row r="49">
      <x:c r="A49" s="54" t="str">
        <x:v>PRT-0012</x:v>
      </x:c>
      <x:c r="B49" s="54" t="str">
        <x:v>Tiller Relieving Rope, 30 ft</x:v>
      </x:c>
      <x:c r="C49" s="54" t="str">
        <x:v>ROPEWALK</x:v>
      </x:c>
      <x:c r="D49" s="67" t="str">
        <x:v>020171800469</x:v>
      </x:c>
      <x:c r="E49" s="54" t="b">
        <x:f>COUNTIF('BOM'!$A$4:$A$531,A49)&gt;0</x:f>
        <x:v>0</x:v>
      </x:c>
      <x:c r="F49" s="54" t="b">
        <x:f>COUNTIF('BOM'!$B$4:$B$531,A49)&gt;0</x:f>
        <x:v>1</x:v>
      </x:c>
      <x:c r="G49" s="54" t="str">
        <x:f>IF(COUNTIF($A$4:$A$431,A49)=1,"OK","DUPLICATE SKU")</x:f>
        <x:v>OK</x:v>
      </x:c>
      <x:c r="H49"/>
    </x:row>
    <x:row r="50">
      <x:c r="A50" s="54" t="str">
        <x:v>ASM-0006</x:v>
      </x:c>
      <x:c r="B50" s="54" t="str">
        <x:v>Hand Bilge Pump Assembly</x:v>
      </x:c>
      <x:c r="C50" s="54" t="str">
        <x:v>SHIPWRIGHT</x:v>
      </x:c>
      <x:c r="D50" s="67" t="str">
        <x:v>020171800476</x:v>
      </x:c>
      <x:c r="E50" s="54" t="b">
        <x:f>COUNTIF('BOM'!$A$4:$A$531,A50)&gt;0</x:f>
        <x:v>1</x:v>
      </x:c>
      <x:c r="F50" s="54" t="b">
        <x:f>COUNTIF('BOM'!$B$4:$B$531,A50)&gt;0</x:f>
        <x:v>1</x:v>
      </x:c>
      <x:c r="G50" s="54" t="str">
        <x:f>IF(COUNTIF($A$4:$A$431,A50)=1,"OK","DUPLICATE SKU")</x:f>
        <x:v>OK</x:v>
      </x:c>
      <x:c r="H50"/>
    </x:row>
    <x:row r="51">
      <x:c r="A51" s="54" t="str">
        <x:v>PRT-0013</x:v>
      </x:c>
      <x:c r="B51" s="54" t="str">
        <x:v>Bilge Strainer</x:v>
      </x:c>
      <x:c r="C51" s="54" t="str">
        <x:v>SHIPWRIGHT</x:v>
      </x:c>
      <x:c r="D51" s="67" t="str">
        <x:v>020171800483</x:v>
      </x:c>
      <x:c r="E51" s="54" t="b">
        <x:f>COUNTIF('BOM'!$A$4:$A$531,A51)&gt;0</x:f>
        <x:v>0</x:v>
      </x:c>
      <x:c r="F51" s="54" t="b">
        <x:f>COUNTIF('BOM'!$B$4:$B$531,A51)&gt;0</x:f>
        <x:v>1</x:v>
      </x:c>
      <x:c r="G51" s="54" t="str">
        <x:f>IF(COUNTIF($A$4:$A$431,A51)=1,"OK","DUPLICATE SKU")</x:f>
        <x:v>OK</x:v>
      </x:c>
      <x:c r="H51"/>
    </x:row>
    <x:row r="52">
      <x:c r="A52" s="54" t="str">
        <x:v>PRT-0014</x:v>
      </x:c>
      <x:c r="B52" s="54" t="str">
        <x:v>Pump Brake Handle</x:v>
      </x:c>
      <x:c r="C52" s="54" t="str">
        <x:v>SHIPWRIGHT</x:v>
      </x:c>
      <x:c r="D52" s="67" t="str">
        <x:v>020171800490</x:v>
      </x:c>
      <x:c r="E52" s="54" t="b">
        <x:f>COUNTIF('BOM'!$A$4:$A$531,A52)&gt;0</x:f>
        <x:v>0</x:v>
      </x:c>
      <x:c r="F52" s="54" t="b">
        <x:f>COUNTIF('BOM'!$B$4:$B$531,A52)&gt;0</x:f>
        <x:v>1</x:v>
      </x:c>
      <x:c r="G52" s="54" t="str">
        <x:f>IF(COUNTIF($A$4:$A$431,A52)=1,"OK","DUPLICATE SKU")</x:f>
        <x:v>OK</x:v>
      </x:c>
      <x:c r="H52"/>
    </x:row>
    <x:row r="53">
      <x:c r="A53" s="54" t="str">
        <x:v>KIT-0003</x:v>
      </x:c>
      <x:c r="B53" s="54" t="str">
        <x:v>Pump Leather Service Set</x:v>
      </x:c>
      <x:c r="C53" s="54" t="str">
        <x:v>CARPENTER</x:v>
      </x:c>
      <x:c r="D53" s="67" t="str">
        <x:v>020171800506</x:v>
      </x:c>
      <x:c r="E53" s="54" t="b">
        <x:f>COUNTIF('BOM'!$A$4:$A$531,A53)&gt;0</x:f>
        <x:v>0</x:v>
      </x:c>
      <x:c r="F53" s="54" t="b">
        <x:f>COUNTIF('BOM'!$B$4:$B$531,A53)&gt;0</x:f>
        <x:v>1</x:v>
      </x:c>
      <x:c r="G53" s="54" t="str">
        <x:f>IF(COUNTIF($A$4:$A$431,A53)=1,"OK","DUPLICATE SKU")</x:f>
        <x:v>OK</x:v>
      </x:c>
      <x:c r="H53"/>
    </x:row>
    <x:row r="54">
      <x:c r="A54" s="54" t="str">
        <x:v>ASM-0007</x:v>
      </x:c>
      <x:c r="B54" s="54" t="str">
        <x:v>Bilge Bucket with Rope</x:v>
      </x:c>
      <x:c r="C54" s="54" t="str">
        <x:v>BOATSWAIN</x:v>
      </x:c>
      <x:c r="D54" s="67" t="str">
        <x:v>020171800513</x:v>
      </x:c>
      <x:c r="E54" s="54" t="b">
        <x:f>COUNTIF('BOM'!$A$4:$A$531,A54)&gt;0</x:f>
        <x:v>0</x:v>
      </x:c>
      <x:c r="F54" s="54" t="b">
        <x:f>COUNTIF('BOM'!$B$4:$B$531,A54)&gt;0</x:f>
        <x:v>1</x:v>
      </x:c>
      <x:c r="G54" s="54" t="str">
        <x:f>IF(COUNTIF($A$4:$A$431,A54)=1,"OK","DUPLICATE SKU")</x:f>
        <x:v>OK</x:v>
      </x:c>
      <x:c r="H54"/>
    </x:row>
    <x:row r="55">
      <x:c r="A55" s="54" t="str">
        <x:v>MAT-0001</x:v>
      </x:c>
      <x:c r="B55" s="54" t="str">
        <x:v>Sorted Stone Ballast, 100 lb Lot</x:v>
      </x:c>
      <x:c r="C55" s="54" t="str">
        <x:v>SHIPWRIGHT</x:v>
      </x:c>
      <x:c r="D55" s="67" t="str">
        <x:v>020171800520</x:v>
      </x:c>
      <x:c r="E55" s="54" t="b">
        <x:f>COUNTIF('BOM'!$A$4:$A$531,A55)&gt;0</x:f>
        <x:v>0</x:v>
      </x:c>
      <x:c r="F55" s="54" t="b">
        <x:f>COUNTIF('BOM'!$B$4:$B$531,A55)&gt;0</x:f>
        <x:v>1</x:v>
      </x:c>
      <x:c r="G55" s="54" t="str">
        <x:f>IF(COUNTIF($A$4:$A$431,A55)=1,"OK","DUPLICATE SKU")</x:f>
        <x:v>OK</x:v>
      </x:c>
      <x:c r="H55"/>
    </x:row>
    <x:row r="56">
      <x:c r="A56" s="54" t="str">
        <x:v>PRT-0015</x:v>
      </x:c>
      <x:c r="B56" s="54" t="str">
        <x:v>Iron Ballast Pig, 50 lb</x:v>
      </x:c>
      <x:c r="C56" s="54" t="str">
        <x:v>SHIPWRIGHT</x:v>
      </x:c>
      <x:c r="D56" s="67" t="str">
        <x:v>020171800537</x:v>
      </x:c>
      <x:c r="E56" s="54" t="b">
        <x:f>COUNTIF('BOM'!$A$4:$A$531,A56)&gt;0</x:f>
        <x:v>0</x:v>
      </x:c>
      <x:c r="F56" s="54" t="b">
        <x:f>COUNTIF('BOM'!$B$4:$B$531,A56)&gt;0</x:f>
        <x:v>1</x:v>
      </x:c>
      <x:c r="G56" s="54" t="str">
        <x:f>IF(COUNTIF($A$4:$A$431,A56)=1,"OK","DUPLICATE SKU")</x:f>
        <x:v>OK</x:v>
      </x:c>
      <x:c r="H56"/>
    </x:row>
    <x:row r="57">
      <x:c r="A57" s="54" t="str">
        <x:v>PRT-0016</x:v>
      </x:c>
      <x:c r="B57" s="54" t="str">
        <x:v>Ballast Bedding Mat</x:v>
      </x:c>
      <x:c r="C57" s="54" t="str">
        <x:v>SAILLOFT</x:v>
      </x:c>
      <x:c r="D57" s="67" t="str">
        <x:v>020171800544</x:v>
      </x:c>
      <x:c r="E57" s="54" t="b">
        <x:f>COUNTIF('BOM'!$A$4:$A$531,A57)&gt;0</x:f>
        <x:v>0</x:v>
      </x:c>
      <x:c r="F57" s="54" t="b">
        <x:f>COUNTIF('BOM'!$B$4:$B$531,A57)&gt;0</x:f>
        <x:v>1</x:v>
      </x:c>
      <x:c r="G57" s="54" t="str">
        <x:f>IF(COUNTIF($A$4:$A$431,A57)=1,"OK","DUPLICATE SKU")</x:f>
        <x:v>OK</x:v>
      </x:c>
      <x:c r="H57"/>
    </x:row>
    <x:row r="58">
      <x:c r="A58" s="54" t="str">
        <x:v>OFT-0004</x:v>
      </x:c>
      <x:c r="B58" s="54" t="str">
        <x:v>Six-Pounder Main Battery</x:v>
      </x:c>
      <x:c r="C58" s="54" t="str">
        <x:v>GUNDECK</x:v>
      </x:c>
      <x:c r="D58" s="67" t="str">
        <x:v>020171800551</x:v>
      </x:c>
      <x:c r="E58" s="54" t="b">
        <x:f>COUNTIF('BOM'!$A$4:$A$531,A58)&gt;0</x:f>
        <x:v>1</x:v>
      </x:c>
      <x:c r="F58" s="54" t="b">
        <x:f>COUNTIF('BOM'!$B$4:$B$531,A58)&gt;0</x:f>
        <x:v>1</x:v>
      </x:c>
      <x:c r="G58" s="54" t="str">
        <x:f>IF(COUNTIF($A$4:$A$431,A58)=1,"OK","DUPLICATE SKU")</x:f>
        <x:v>OK</x:v>
      </x:c>
      <x:c r="H58"/>
    </x:row>
    <x:row r="59">
      <x:c r="A59" s="54" t="str">
        <x:v>OFT-0005</x:v>
      </x:c>
      <x:c r="B59" s="54" t="str">
        <x:v>Four-Pounder Upper Battery</x:v>
      </x:c>
      <x:c r="C59" s="54" t="str">
        <x:v>GUNDECK</x:v>
      </x:c>
      <x:c r="D59" s="67" t="str">
        <x:v>020171800568</x:v>
      </x:c>
      <x:c r="E59" s="54" t="b">
        <x:f>COUNTIF('BOM'!$A$4:$A$531,A59)&gt;0</x:f>
        <x:v>1</x:v>
      </x:c>
      <x:c r="F59" s="54" t="b">
        <x:f>COUNTIF('BOM'!$B$4:$B$531,A59)&gt;0</x:f>
        <x:v>1</x:v>
      </x:c>
      <x:c r="G59" s="54" t="str">
        <x:f>IF(COUNTIF($A$4:$A$431,A59)=1,"OK","DUPLICATE SKU")</x:f>
        <x:v>OK</x:v>
      </x:c>
      <x:c r="H59"/>
    </x:row>
    <x:row r="60">
      <x:c r="A60" s="54" t="str">
        <x:v>OFT-0006</x:v>
      </x:c>
      <x:c r="B60" s="54" t="str">
        <x:v>Swivel-Gun Rail Battery</x:v>
      </x:c>
      <x:c r="C60" s="54" t="str">
        <x:v>GUNDECK</x:v>
      </x:c>
      <x:c r="D60" s="67" t="str">
        <x:v>020171800575</x:v>
      </x:c>
      <x:c r="E60" s="54" t="b">
        <x:f>COUNTIF('BOM'!$A$4:$A$531,A60)&gt;0</x:f>
        <x:v>1</x:v>
      </x:c>
      <x:c r="F60" s="54" t="b">
        <x:f>COUNTIF('BOM'!$B$4:$B$531,A60)&gt;0</x:f>
        <x:v>1</x:v>
      </x:c>
      <x:c r="G60" s="54" t="str">
        <x:f>IF(COUNTIF($A$4:$A$431,A60)=1,"OK","DUPLICATE SKU")</x:f>
        <x:v>OK</x:v>
      </x:c>
      <x:c r="H60"/>
    </x:row>
    <x:row r="61">
      <x:c r="A61" s="54" t="str">
        <x:v>OFT-0007</x:v>
      </x:c>
      <x:c r="B61" s="54" t="str">
        <x:v>Powder Magazine Outfit</x:v>
      </x:c>
      <x:c r="C61" s="54" t="str">
        <x:v>MAGAZINE</x:v>
      </x:c>
      <x:c r="D61" s="67" t="str">
        <x:v>020171800582</x:v>
      </x:c>
      <x:c r="E61" s="54" t="b">
        <x:f>COUNTIF('BOM'!$A$4:$A$531,A61)&gt;0</x:f>
        <x:v>1</x:v>
      </x:c>
      <x:c r="F61" s="54" t="b">
        <x:f>COUNTIF('BOM'!$B$4:$B$531,A61)&gt;0</x:f>
        <x:v>1</x:v>
      </x:c>
      <x:c r="G61" s="54" t="str">
        <x:f>IF(COUNTIF($A$4:$A$431,A61)=1,"OK","DUPLICATE SKU")</x:f>
        <x:v>OK</x:v>
      </x:c>
      <x:c r="H61"/>
    </x:row>
    <x:row r="62">
      <x:c r="A62" s="54" t="str">
        <x:v>OFT-0008</x:v>
      </x:c>
      <x:c r="B62" s="54" t="str">
        <x:v>Small Arms and Boarding Outfit</x:v>
      </x:c>
      <x:c r="C62" s="54" t="str">
        <x:v>GUNDECK</x:v>
      </x:c>
      <x:c r="D62" s="67" t="str">
        <x:v>020171800599</x:v>
      </x:c>
      <x:c r="E62" s="54" t="b">
        <x:f>COUNTIF('BOM'!$A$4:$A$531,A62)&gt;0</x:f>
        <x:v>1</x:v>
      </x:c>
      <x:c r="F62" s="54" t="b">
        <x:f>COUNTIF('BOM'!$B$4:$B$531,A62)&gt;0</x:f>
        <x:v>1</x:v>
      </x:c>
      <x:c r="G62" s="54" t="str">
        <x:f>IF(COUNTIF($A$4:$A$431,A62)=1,"OK","DUPLICATE SKU")</x:f>
        <x:v>OK</x:v>
      </x:c>
      <x:c r="H62"/>
    </x:row>
    <x:row r="63">
      <x:c r="A63" s="54" t="str">
        <x:v>KIT-0004</x:v>
      </x:c>
      <x:c r="B63" s="54" t="str">
        <x:v>Ordnance Spare Parts Chest</x:v>
      </x:c>
      <x:c r="C63" s="54" t="str">
        <x:v>GUNDECK</x:v>
      </x:c>
      <x:c r="D63" s="67" t="str">
        <x:v>020171800605</x:v>
      </x:c>
      <x:c r="E63" s="54" t="b">
        <x:f>COUNTIF('BOM'!$A$4:$A$531,A63)&gt;0</x:f>
        <x:v>1</x:v>
      </x:c>
      <x:c r="F63" s="54" t="b">
        <x:f>COUNTIF('BOM'!$B$4:$B$531,A63)&gt;0</x:f>
        <x:v>1</x:v>
      </x:c>
      <x:c r="G63" s="54" t="str">
        <x:f>IF(COUNTIF($A$4:$A$431,A63)=1,"OK","DUPLICATE SKU")</x:f>
        <x:v>OK</x:v>
      </x:c>
      <x:c r="H63"/>
    </x:row>
    <x:row r="64">
      <x:c r="A64" s="54" t="str">
        <x:v>KIT-0005</x:v>
      </x:c>
      <x:c r="B64" s="54" t="str">
        <x:v>Complete Six-Pounder Cannon Station</x:v>
      </x:c>
      <x:c r="C64" s="54" t="str">
        <x:v>GUNDECK</x:v>
      </x:c>
      <x:c r="D64" s="67" t="str">
        <x:v>020171800612</x:v>
      </x:c>
      <x:c r="E64" s="54" t="b">
        <x:f>COUNTIF('BOM'!$A$4:$A$531,A64)&gt;0</x:f>
        <x:v>1</x:v>
      </x:c>
      <x:c r="F64" s="54" t="b">
        <x:f>COUNTIF('BOM'!$B$4:$B$531,A64)&gt;0</x:f>
        <x:v>1</x:v>
      </x:c>
      <x:c r="G64" s="54" t="str">
        <x:f>IF(COUNTIF($A$4:$A$431,A64)=1,"OK","DUPLICATE SKU")</x:f>
        <x:v>OK</x:v>
      </x:c>
      <x:c r="H64"/>
    </x:row>
    <x:row r="65">
      <x:c r="A65" s="54" t="str">
        <x:v>KIT-0006</x:v>
      </x:c>
      <x:c r="B65" s="54" t="str">
        <x:v>Complete Four-Pounder Cannon Station</x:v>
      </x:c>
      <x:c r="C65" s="54" t="str">
        <x:v>GUNDECK</x:v>
      </x:c>
      <x:c r="D65" s="67" t="str">
        <x:v>020171800629</x:v>
      </x:c>
      <x:c r="E65" s="54" t="b">
        <x:f>COUNTIF('BOM'!$A$4:$A$531,A65)&gt;0</x:f>
        <x:v>1</x:v>
      </x:c>
      <x:c r="F65" s="54" t="b">
        <x:f>COUNTIF('BOM'!$B$4:$B$531,A65)&gt;0</x:f>
        <x:v>1</x:v>
      </x:c>
      <x:c r="G65" s="54" t="str">
        <x:f>IF(COUNTIF($A$4:$A$431,A65)=1,"OK","DUPLICATE SKU")</x:f>
        <x:v>OK</x:v>
      </x:c>
      <x:c r="H65"/>
    </x:row>
    <x:row r="66">
      <x:c r="A66" s="54" t="str">
        <x:v>KIT-0007</x:v>
      </x:c>
      <x:c r="B66" s="54" t="str">
        <x:v>Complete Half-Pounder Swivel-Gun Station</x:v>
      </x:c>
      <x:c r="C66" s="54" t="str">
        <x:v>GUNDECK</x:v>
      </x:c>
      <x:c r="D66" s="67" t="str">
        <x:v>020171800636</x:v>
      </x:c>
      <x:c r="E66" s="54" t="b">
        <x:f>COUNTIF('BOM'!$A$4:$A$531,A66)&gt;0</x:f>
        <x:v>1</x:v>
      </x:c>
      <x:c r="F66" s="54" t="b">
        <x:f>COUNTIF('BOM'!$B$4:$B$531,A66)&gt;0</x:f>
        <x:v>1</x:v>
      </x:c>
      <x:c r="G66" s="54" t="str">
        <x:f>IF(COUNTIF($A$4:$A$431,A66)=1,"OK","DUPLICATE SKU")</x:f>
        <x:v>OK</x:v>
      </x:c>
      <x:c r="H66"/>
    </x:row>
    <x:row r="67">
      <x:c r="A67" s="54" t="str">
        <x:v>PRT-0017</x:v>
      </x:c>
      <x:c r="B67" s="54" t="str">
        <x:v>Iron Six-Pounder Cannon Barrel</x:v>
      </x:c>
      <x:c r="C67" s="54" t="str">
        <x:v>FOUNDRY</x:v>
      </x:c>
      <x:c r="D67" s="67" t="str">
        <x:v>020171800643</x:v>
      </x:c>
      <x:c r="E67" s="54" t="b">
        <x:f>COUNTIF('BOM'!$A$4:$A$531,A67)&gt;0</x:f>
        <x:v>0</x:v>
      </x:c>
      <x:c r="F67" s="54" t="b">
        <x:f>COUNTIF('BOM'!$B$4:$B$531,A67)&gt;0</x:f>
        <x:v>1</x:v>
      </x:c>
      <x:c r="G67" s="54" t="str">
        <x:f>IF(COUNTIF($A$4:$A$431,A67)=1,"OK","DUPLICATE SKU")</x:f>
        <x:v>OK</x:v>
      </x:c>
      <x:c r="H67"/>
    </x:row>
    <x:row r="68">
      <x:c r="A68" s="54" t="str">
        <x:v>PRT-0018</x:v>
      </x:c>
      <x:c r="B68" s="54" t="str">
        <x:v>Iron Four-Pounder Cannon Barrel</x:v>
      </x:c>
      <x:c r="C68" s="54" t="str">
        <x:v>FOUNDRY</x:v>
      </x:c>
      <x:c r="D68" s="67" t="str">
        <x:v>020171800650</x:v>
      </x:c>
      <x:c r="E68" s="54" t="b">
        <x:f>COUNTIF('BOM'!$A$4:$A$531,A68)&gt;0</x:f>
        <x:v>0</x:v>
      </x:c>
      <x:c r="F68" s="54" t="b">
        <x:f>COUNTIF('BOM'!$B$4:$B$531,A68)&gt;0</x:f>
        <x:v>1</x:v>
      </x:c>
      <x:c r="G68" s="54" t="str">
        <x:f>IF(COUNTIF($A$4:$A$431,A68)=1,"OK","DUPLICATE SKU")</x:f>
        <x:v>OK</x:v>
      </x:c>
      <x:c r="H68"/>
    </x:row>
    <x:row r="69">
      <x:c r="A69" s="54" t="str">
        <x:v>PRT-0019</x:v>
      </x:c>
      <x:c r="B69" s="54" t="str">
        <x:v>Iron Half-Pounder Swivel Gun</x:v>
      </x:c>
      <x:c r="C69" s="54" t="str">
        <x:v>FOUNDRY</x:v>
      </x:c>
      <x:c r="D69" s="67" t="str">
        <x:v>020171800667</x:v>
      </x:c>
      <x:c r="E69" s="54" t="b">
        <x:f>COUNTIF('BOM'!$A$4:$A$531,A69)&gt;0</x:f>
        <x:v>0</x:v>
      </x:c>
      <x:c r="F69" s="54" t="b">
        <x:f>COUNTIF('BOM'!$B$4:$B$531,A69)&gt;0</x:f>
        <x:v>1</x:v>
      </x:c>
      <x:c r="G69" s="54" t="str">
        <x:f>IF(COUNTIF($A$4:$A$431,A69)=1,"OK","DUPLICATE SKU")</x:f>
        <x:v>OK</x:v>
      </x:c>
      <x:c r="H69"/>
    </x:row>
    <x:row r="70">
      <x:c r="A70" s="54" t="str">
        <x:v>ASM-0008</x:v>
      </x:c>
      <x:c r="B70" s="54" t="str">
        <x:v>Six-Pounder Gun Carriage</x:v>
      </x:c>
      <x:c r="C70" s="54" t="str">
        <x:v>CARPENTER</x:v>
      </x:c>
      <x:c r="D70" s="67" t="str">
        <x:v>020171800674</x:v>
      </x:c>
      <x:c r="E70" s="54" t="b">
        <x:f>COUNTIF('BOM'!$A$4:$A$531,A70)&gt;0</x:f>
        <x:v>1</x:v>
      </x:c>
      <x:c r="F70" s="54" t="b">
        <x:f>COUNTIF('BOM'!$B$4:$B$531,A70)&gt;0</x:f>
        <x:v>1</x:v>
      </x:c>
      <x:c r="G70" s="54" t="str">
        <x:f>IF(COUNTIF($A$4:$A$431,A70)=1,"OK","DUPLICATE SKU")</x:f>
        <x:v>OK</x:v>
      </x:c>
      <x:c r="H70"/>
    </x:row>
    <x:row r="71">
      <x:c r="A71" s="54" t="str">
        <x:v>ASM-0009</x:v>
      </x:c>
      <x:c r="B71" s="54" t="str">
        <x:v>Four-Pounder Gun Carriage</x:v>
      </x:c>
      <x:c r="C71" s="54" t="str">
        <x:v>CARPENTER</x:v>
      </x:c>
      <x:c r="D71" s="67" t="str">
        <x:v>020171800681</x:v>
      </x:c>
      <x:c r="E71" s="54" t="b">
        <x:f>COUNTIF('BOM'!$A$4:$A$531,A71)&gt;0</x:f>
        <x:v>1</x:v>
      </x:c>
      <x:c r="F71" s="54" t="b">
        <x:f>COUNTIF('BOM'!$B$4:$B$531,A71)&gt;0</x:f>
        <x:v>1</x:v>
      </x:c>
      <x:c r="G71" s="54" t="str">
        <x:f>IF(COUNTIF($A$4:$A$431,A71)=1,"OK","DUPLICATE SKU")</x:f>
        <x:v>OK</x:v>
      </x:c>
      <x:c r="H71"/>
    </x:row>
    <x:row r="72">
      <x:c r="A72" s="54" t="str">
        <x:v>ASM-0010</x:v>
      </x:c>
      <x:c r="B72" s="54" t="str">
        <x:v>Swivel-Gun Yoke and Pintle Mount</x:v>
      </x:c>
      <x:c r="C72" s="54" t="str">
        <x:v>FOUNDRY</x:v>
      </x:c>
      <x:c r="D72" s="67" t="str">
        <x:v>020171800698</x:v>
      </x:c>
      <x:c r="E72" s="54" t="b">
        <x:f>COUNTIF('BOM'!$A$4:$A$531,A72)&gt;0</x:f>
        <x:v>1</x:v>
      </x:c>
      <x:c r="F72" s="54" t="b">
        <x:f>COUNTIF('BOM'!$B$4:$B$531,A72)&gt;0</x:f>
        <x:v>1</x:v>
      </x:c>
      <x:c r="G72" s="54" t="str">
        <x:f>IF(COUNTIF($A$4:$A$431,A72)=1,"OK","DUPLICATE SKU")</x:f>
        <x:v>OK</x:v>
      </x:c>
      <x:c r="H72"/>
    </x:row>
    <x:row r="73">
      <x:c r="A73" s="54" t="str">
        <x:v>KIT-0008</x:v>
      </x:c>
      <x:c r="B73" s="54" t="str">
        <x:v>Cannon Service Tool Kit</x:v>
      </x:c>
      <x:c r="C73" s="54" t="str">
        <x:v>GUNDECK</x:v>
      </x:c>
      <x:c r="D73" s="67" t="str">
        <x:v>020171800704</x:v>
      </x:c>
      <x:c r="E73" s="54" t="b">
        <x:f>COUNTIF('BOM'!$A$4:$A$531,A73)&gt;0</x:f>
        <x:v>1</x:v>
      </x:c>
      <x:c r="F73" s="54" t="b">
        <x:f>COUNTIF('BOM'!$B$4:$B$531,A73)&gt;0</x:f>
        <x:v>1</x:v>
      </x:c>
      <x:c r="G73" s="54" t="str">
        <x:f>IF(COUNTIF($A$4:$A$431,A73)=1,"OK","DUPLICATE SKU")</x:f>
        <x:v>OK</x:v>
      </x:c>
      <x:c r="H73"/>
    </x:row>
    <x:row r="74">
      <x:c r="A74" s="54" t="str">
        <x:v>KIT-0009</x:v>
      </x:c>
      <x:c r="B74" s="54" t="str">
        <x:v>Swivel-Gun Service Tool Kit</x:v>
      </x:c>
      <x:c r="C74" s="54" t="str">
        <x:v>GUNDECK</x:v>
      </x:c>
      <x:c r="D74" s="67" t="str">
        <x:v>020171800711</x:v>
      </x:c>
      <x:c r="E74" s="54" t="b">
        <x:f>COUNTIF('BOM'!$A$4:$A$531,A74)&gt;0</x:f>
        <x:v>1</x:v>
      </x:c>
      <x:c r="F74" s="54" t="b">
        <x:f>COUNTIF('BOM'!$B$4:$B$531,A74)&gt;0</x:f>
        <x:v>1</x:v>
      </x:c>
      <x:c r="G74" s="54" t="str">
        <x:f>IF(COUNTIF($A$4:$A$431,A74)=1,"OK","DUPLICATE SKU")</x:f>
        <x:v>OK</x:v>
      </x:c>
      <x:c r="H74"/>
    </x:row>
    <x:row r="75">
      <x:c r="A75" s="54" t="str">
        <x:v>KIT-0010</x:v>
      </x:c>
      <x:c r="B75" s="54" t="str">
        <x:v>Six-Pounder Breeching and Side-Tackle Set</x:v>
      </x:c>
      <x:c r="C75" s="54" t="str">
        <x:v>ROPEWALK</x:v>
      </x:c>
      <x:c r="D75" s="67" t="str">
        <x:v>020171800728</x:v>
      </x:c>
      <x:c r="E75" s="54" t="b">
        <x:f>COUNTIF('BOM'!$A$4:$A$531,A75)&gt;0</x:f>
        <x:v>1</x:v>
      </x:c>
      <x:c r="F75" s="54" t="b">
        <x:f>COUNTIF('BOM'!$B$4:$B$531,A75)&gt;0</x:f>
        <x:v>1</x:v>
      </x:c>
      <x:c r="G75" s="54" t="str">
        <x:f>IF(COUNTIF($A$4:$A$431,A75)=1,"OK","DUPLICATE SKU")</x:f>
        <x:v>OK</x:v>
      </x:c>
      <x:c r="H75"/>
    </x:row>
    <x:row r="76">
      <x:c r="A76" s="54" t="str">
        <x:v>KIT-0011</x:v>
      </x:c>
      <x:c r="B76" s="54" t="str">
        <x:v>Four-Pounder Breeching and Side-Tackle Set</x:v>
      </x:c>
      <x:c r="C76" s="54" t="str">
        <x:v>ROPEWALK</x:v>
      </x:c>
      <x:c r="D76" s="67" t="str">
        <x:v>020171800735</x:v>
      </x:c>
      <x:c r="E76" s="54" t="b">
        <x:f>COUNTIF('BOM'!$A$4:$A$531,A76)&gt;0</x:f>
        <x:v>1</x:v>
      </x:c>
      <x:c r="F76" s="54" t="b">
        <x:f>COUNTIF('BOM'!$B$4:$B$531,A76)&gt;0</x:f>
        <x:v>1</x:v>
      </x:c>
      <x:c r="G76" s="54" t="str">
        <x:f>IF(COUNTIF($A$4:$A$431,A76)=1,"OK","DUPLICATE SKU")</x:f>
        <x:v>OK</x:v>
      </x:c>
      <x:c r="H76"/>
    </x:row>
    <x:row r="77">
      <x:c r="A77" s="54" t="str">
        <x:v>KIT-0012</x:v>
      </x:c>
      <x:c r="B77" s="54" t="str">
        <x:v>Six-Pounder Ready-Shot Allowance</x:v>
      </x:c>
      <x:c r="C77" s="54" t="str">
        <x:v>MAGAZINE</x:v>
      </x:c>
      <x:c r="D77" s="67" t="str">
        <x:v>020171800742</x:v>
      </x:c>
      <x:c r="E77" s="54" t="b">
        <x:f>COUNTIF('BOM'!$A$4:$A$531,A77)&gt;0</x:f>
        <x:v>1</x:v>
      </x:c>
      <x:c r="F77" s="54" t="b">
        <x:f>COUNTIF('BOM'!$B$4:$B$531,A77)&gt;0</x:f>
        <x:v>1</x:v>
      </x:c>
      <x:c r="G77" s="54" t="str">
        <x:f>IF(COUNTIF($A$4:$A$431,A77)=1,"OK","DUPLICATE SKU")</x:f>
        <x:v>OK</x:v>
      </x:c>
      <x:c r="H77"/>
    </x:row>
    <x:row r="78">
      <x:c r="A78" s="54" t="str">
        <x:v>KIT-0013</x:v>
      </x:c>
      <x:c r="B78" s="54" t="str">
        <x:v>Four-Pounder Ready-Shot Allowance</x:v>
      </x:c>
      <x:c r="C78" s="54" t="str">
        <x:v>MAGAZINE</x:v>
      </x:c>
      <x:c r="D78" s="67" t="str">
        <x:v>020171800759</x:v>
      </x:c>
      <x:c r="E78" s="54" t="b">
        <x:f>COUNTIF('BOM'!$A$4:$A$531,A78)&gt;0</x:f>
        <x:v>1</x:v>
      </x:c>
      <x:c r="F78" s="54" t="b">
        <x:f>COUNTIF('BOM'!$B$4:$B$531,A78)&gt;0</x:f>
        <x:v>1</x:v>
      </x:c>
      <x:c r="G78" s="54" t="str">
        <x:f>IF(COUNTIF($A$4:$A$431,A78)=1,"OK","DUPLICATE SKU")</x:f>
        <x:v>OK</x:v>
      </x:c>
      <x:c r="H78"/>
    </x:row>
    <x:row r="79">
      <x:c r="A79" s="54" t="str">
        <x:v>KIT-0014</x:v>
      </x:c>
      <x:c r="B79" s="54" t="str">
        <x:v>Swivel-Gun Ready-Shot Allowance</x:v>
      </x:c>
      <x:c r="C79" s="54" t="str">
        <x:v>MAGAZINE</x:v>
      </x:c>
      <x:c r="D79" s="67" t="str">
        <x:v>020171800766</x:v>
      </x:c>
      <x:c r="E79" s="54" t="b">
        <x:f>COUNTIF('BOM'!$A$4:$A$531,A79)&gt;0</x:f>
        <x:v>1</x:v>
      </x:c>
      <x:c r="F79" s="54" t="b">
        <x:f>COUNTIF('BOM'!$B$4:$B$531,A79)&gt;0</x:f>
        <x:v>1</x:v>
      </x:c>
      <x:c r="G79" s="54" t="str">
        <x:f>IF(COUNTIF($A$4:$A$431,A79)=1,"OK","DUPLICATE SKU")</x:f>
        <x:v>OK</x:v>
      </x:c>
      <x:c r="H79"/>
    </x:row>
    <x:row r="80">
      <x:c r="A80" s="54" t="str">
        <x:v>LBL-0001</x:v>
      </x:c>
      <x:c r="B80" s="54" t="str">
        <x:v>Safety Label - Six-Pounder Station</x:v>
      </x:c>
      <x:c r="C80" s="54" t="str">
        <x:v>LABELSHOP</x:v>
      </x:c>
      <x:c r="D80" s="67" t="str">
        <x:v>020171800773</x:v>
      </x:c>
      <x:c r="E80" s="54" t="b">
        <x:f>COUNTIF('BOM'!$A$4:$A$531,A80)&gt;0</x:f>
        <x:v>0</x:v>
      </x:c>
      <x:c r="F80" s="54" t="b">
        <x:f>COUNTIF('BOM'!$B$4:$B$531,A80)&gt;0</x:f>
        <x:v>1</x:v>
      </x:c>
      <x:c r="G80" s="54" t="str">
        <x:f>IF(COUNTIF($A$4:$A$431,A80)=1,"OK","DUPLICATE SKU")</x:f>
        <x:v>OK</x:v>
      </x:c>
      <x:c r="H80"/>
    </x:row>
    <x:row r="81">
      <x:c r="A81" s="54" t="str">
        <x:v>LBL-0002</x:v>
      </x:c>
      <x:c r="B81" s="54" t="str">
        <x:v>Safety Label - Four-Pounder Station</x:v>
      </x:c>
      <x:c r="C81" s="54" t="str">
        <x:v>LABELSHOP</x:v>
      </x:c>
      <x:c r="D81" s="67" t="str">
        <x:v>020171800780</x:v>
      </x:c>
      <x:c r="E81" s="54" t="b">
        <x:f>COUNTIF('BOM'!$A$4:$A$531,A81)&gt;0</x:f>
        <x:v>0</x:v>
      </x:c>
      <x:c r="F81" s="54" t="b">
        <x:f>COUNTIF('BOM'!$B$4:$B$531,A81)&gt;0</x:f>
        <x:v>1</x:v>
      </x:c>
      <x:c r="G81" s="54" t="str">
        <x:f>IF(COUNTIF($A$4:$A$431,A81)=1,"OK","DUPLICATE SKU")</x:f>
        <x:v>OK</x:v>
      </x:c>
      <x:c r="H81"/>
    </x:row>
    <x:row r="82">
      <x:c r="A82" s="54" t="str">
        <x:v>LBL-0003</x:v>
      </x:c>
      <x:c r="B82" s="54" t="str">
        <x:v>Safety Label - Swivel-Gun Station</x:v>
      </x:c>
      <x:c r="C82" s="54" t="str">
        <x:v>LABELSHOP</x:v>
      </x:c>
      <x:c r="D82" s="67" t="str">
        <x:v>020171800797</x:v>
      </x:c>
      <x:c r="E82" s="54" t="b">
        <x:f>COUNTIF('BOM'!$A$4:$A$531,A82)&gt;0</x:f>
        <x:v>0</x:v>
      </x:c>
      <x:c r="F82" s="54" t="b">
        <x:f>COUNTIF('BOM'!$B$4:$B$531,A82)&gt;0</x:f>
        <x:v>1</x:v>
      </x:c>
      <x:c r="G82" s="54" t="str">
        <x:f>IF(COUNTIF($A$4:$A$431,A82)=1,"OK","DUPLICATE SKU")</x:f>
        <x:v>OK</x:v>
      </x:c>
      <x:c r="H82"/>
    </x:row>
    <x:row r="83">
      <x:c r="A83" s="54" t="str">
        <x:v>PRT-0020</x:v>
      </x:c>
      <x:c r="B83" s="54" t="str">
        <x:v>Six-Pounder Carriage Cheek</x:v>
      </x:c>
      <x:c r="C83" s="54" t="str">
        <x:v>CARPENTER</x:v>
      </x:c>
      <x:c r="D83" s="67" t="str">
        <x:v>020171800803</x:v>
      </x:c>
      <x:c r="E83" s="54" t="b">
        <x:f>COUNTIF('BOM'!$A$4:$A$531,A83)&gt;0</x:f>
        <x:v>0</x:v>
      </x:c>
      <x:c r="F83" s="54" t="b">
        <x:f>COUNTIF('BOM'!$B$4:$B$531,A83)&gt;0</x:f>
        <x:v>1</x:v>
      </x:c>
      <x:c r="G83" s="54" t="str">
        <x:f>IF(COUNTIF($A$4:$A$431,A83)=1,"OK","DUPLICATE SKU")</x:f>
        <x:v>OK</x:v>
      </x:c>
      <x:c r="H83"/>
    </x:row>
    <x:row r="84">
      <x:c r="A84" s="54" t="str">
        <x:v>PRT-0021</x:v>
      </x:c>
      <x:c r="B84" s="54" t="str">
        <x:v>Four-Pounder Carriage Cheek</x:v>
      </x:c>
      <x:c r="C84" s="54" t="str">
        <x:v>CARPENTER</x:v>
      </x:c>
      <x:c r="D84" s="67" t="str">
        <x:v>020171800810</x:v>
      </x:c>
      <x:c r="E84" s="54" t="b">
        <x:f>COUNTIF('BOM'!$A$4:$A$531,A84)&gt;0</x:f>
        <x:v>0</x:v>
      </x:c>
      <x:c r="F84" s="54" t="b">
        <x:f>COUNTIF('BOM'!$B$4:$B$531,A84)&gt;0</x:f>
        <x:v>1</x:v>
      </x:c>
      <x:c r="G84" s="54" t="str">
        <x:f>IF(COUNTIF($A$4:$A$431,A84)=1,"OK","DUPLICATE SKU")</x:f>
        <x:v>OK</x:v>
      </x:c>
      <x:c r="H84"/>
    </x:row>
    <x:row r="85">
      <x:c r="A85" s="54" t="str">
        <x:v>PRT-0022</x:v>
      </x:c>
      <x:c r="B85" s="54" t="str">
        <x:v>Six-Pounder Carriage Bed</x:v>
      </x:c>
      <x:c r="C85" s="54" t="str">
        <x:v>CARPENTER</x:v>
      </x:c>
      <x:c r="D85" s="67" t="str">
        <x:v>020171800827</x:v>
      </x:c>
      <x:c r="E85" s="54" t="b">
        <x:f>COUNTIF('BOM'!$A$4:$A$531,A85)&gt;0</x:f>
        <x:v>0</x:v>
      </x:c>
      <x:c r="F85" s="54" t="b">
        <x:f>COUNTIF('BOM'!$B$4:$B$531,A85)&gt;0</x:f>
        <x:v>1</x:v>
      </x:c>
      <x:c r="G85" s="54" t="str">
        <x:f>IF(COUNTIF($A$4:$A$431,A85)=1,"OK","DUPLICATE SKU")</x:f>
        <x:v>OK</x:v>
      </x:c>
      <x:c r="H85"/>
    </x:row>
    <x:row r="86">
      <x:c r="A86" s="54" t="str">
        <x:v>PRT-0023</x:v>
      </x:c>
      <x:c r="B86" s="54" t="str">
        <x:v>Four-Pounder Carriage Bed</x:v>
      </x:c>
      <x:c r="C86" s="54" t="str">
        <x:v>CARPENTER</x:v>
      </x:c>
      <x:c r="D86" s="67" t="str">
        <x:v>020171800834</x:v>
      </x:c>
      <x:c r="E86" s="54" t="b">
        <x:f>COUNTIF('BOM'!$A$4:$A$531,A86)&gt;0</x:f>
        <x:v>0</x:v>
      </x:c>
      <x:c r="F86" s="54" t="b">
        <x:f>COUNTIF('BOM'!$B$4:$B$531,A86)&gt;0</x:f>
        <x:v>1</x:v>
      </x:c>
      <x:c r="G86" s="54" t="str">
        <x:f>IF(COUNTIF($A$4:$A$431,A86)=1,"OK","DUPLICATE SKU")</x:f>
        <x:v>OK</x:v>
      </x:c>
      <x:c r="H86"/>
    </x:row>
    <x:row r="87">
      <x:c r="A87" s="54" t="str">
        <x:v>PRT-0024</x:v>
      </x:c>
      <x:c r="B87" s="54" t="str">
        <x:v>Six-Pounder Carriage Axle</x:v>
      </x:c>
      <x:c r="C87" s="54" t="str">
        <x:v>CARPENTER</x:v>
      </x:c>
      <x:c r="D87" s="67" t="str">
        <x:v>020171800841</x:v>
      </x:c>
      <x:c r="E87" s="54" t="b">
        <x:f>COUNTIF('BOM'!$A$4:$A$531,A87)&gt;0</x:f>
        <x:v>0</x:v>
      </x:c>
      <x:c r="F87" s="54" t="b">
        <x:f>COUNTIF('BOM'!$B$4:$B$531,A87)&gt;0</x:f>
        <x:v>1</x:v>
      </x:c>
      <x:c r="G87" s="54" t="str">
        <x:f>IF(COUNTIF($A$4:$A$431,A87)=1,"OK","DUPLICATE SKU")</x:f>
        <x:v>OK</x:v>
      </x:c>
      <x:c r="H87"/>
    </x:row>
    <x:row r="88">
      <x:c r="A88" s="54" t="str">
        <x:v>PRT-0025</x:v>
      </x:c>
      <x:c r="B88" s="54" t="str">
        <x:v>Four-Pounder Carriage Axle</x:v>
      </x:c>
      <x:c r="C88" s="54" t="str">
        <x:v>CARPENTER</x:v>
      </x:c>
      <x:c r="D88" s="67" t="str">
        <x:v>020171800858</x:v>
      </x:c>
      <x:c r="E88" s="54" t="b">
        <x:f>COUNTIF('BOM'!$A$4:$A$531,A88)&gt;0</x:f>
        <x:v>0</x:v>
      </x:c>
      <x:c r="F88" s="54" t="b">
        <x:f>COUNTIF('BOM'!$B$4:$B$531,A88)&gt;0</x:f>
        <x:v>1</x:v>
      </x:c>
      <x:c r="G88" s="54" t="str">
        <x:f>IF(COUNTIF($A$4:$A$431,A88)=1,"OK","DUPLICATE SKU")</x:f>
        <x:v>OK</x:v>
      </x:c>
      <x:c r="H88"/>
    </x:row>
    <x:row r="89">
      <x:c r="A89" s="54" t="str">
        <x:v>PRT-0026</x:v>
      </x:c>
      <x:c r="B89" s="54" t="str">
        <x:v>Six-Pounder Carriage Truck Wheel</x:v>
      </x:c>
      <x:c r="C89" s="54" t="str">
        <x:v>CARPENTER</x:v>
      </x:c>
      <x:c r="D89" s="67" t="str">
        <x:v>020171800865</x:v>
      </x:c>
      <x:c r="E89" s="54" t="b">
        <x:f>COUNTIF('BOM'!$A$4:$A$531,A89)&gt;0</x:f>
        <x:v>0</x:v>
      </x:c>
      <x:c r="F89" s="54" t="b">
        <x:f>COUNTIF('BOM'!$B$4:$B$531,A89)&gt;0</x:f>
        <x:v>1</x:v>
      </x:c>
      <x:c r="G89" s="54" t="str">
        <x:f>IF(COUNTIF($A$4:$A$431,A89)=1,"OK","DUPLICATE SKU")</x:f>
        <x:v>OK</x:v>
      </x:c>
      <x:c r="H89"/>
    </x:row>
    <x:row r="90">
      <x:c r="A90" s="54" t="str">
        <x:v>PRT-0027</x:v>
      </x:c>
      <x:c r="B90" s="54" t="str">
        <x:v>Four-Pounder Carriage Truck Wheel</x:v>
      </x:c>
      <x:c r="C90" s="54" t="str">
        <x:v>CARPENTER</x:v>
      </x:c>
      <x:c r="D90" s="67" t="str">
        <x:v>020171800872</x:v>
      </x:c>
      <x:c r="E90" s="54" t="b">
        <x:f>COUNTIF('BOM'!$A$4:$A$531,A90)&gt;0</x:f>
        <x:v>0</x:v>
      </x:c>
      <x:c r="F90" s="54" t="b">
        <x:f>COUNTIF('BOM'!$B$4:$B$531,A90)&gt;0</x:f>
        <x:v>1</x:v>
      </x:c>
      <x:c r="G90" s="54" t="str">
        <x:f>IF(COUNTIF($A$4:$A$431,A90)=1,"OK","DUPLICATE SKU")</x:f>
        <x:v>OK</x:v>
      </x:c>
      <x:c r="H90"/>
    </x:row>
    <x:row r="91">
      <x:c r="A91" s="54" t="str">
        <x:v>PRT-0028</x:v>
      </x:c>
      <x:c r="B91" s="54" t="str">
        <x:v>Gun Carriage Transom</x:v>
      </x:c>
      <x:c r="C91" s="54" t="str">
        <x:v>CARPENTER</x:v>
      </x:c>
      <x:c r="D91" s="67" t="str">
        <x:v>020171800889</x:v>
      </x:c>
      <x:c r="E91" s="54" t="b">
        <x:f>COUNTIF('BOM'!$A$4:$A$531,A91)&gt;0</x:f>
        <x:v>0</x:v>
      </x:c>
      <x:c r="F91" s="54" t="b">
        <x:f>COUNTIF('BOM'!$B$4:$B$531,A91)&gt;0</x:f>
        <x:v>1</x:v>
      </x:c>
      <x:c r="G91" s="54" t="str">
        <x:f>IF(COUNTIF($A$4:$A$431,A91)=1,"OK","DUPLICATE SKU")</x:f>
        <x:v>OK</x:v>
      </x:c>
      <x:c r="H91"/>
    </x:row>
    <x:row r="92">
      <x:c r="A92" s="54" t="str">
        <x:v>PRT-0029</x:v>
      </x:c>
      <x:c r="B92" s="54" t="str">
        <x:v>Gun Carriage Linchpin</x:v>
      </x:c>
      <x:c r="C92" s="54" t="str">
        <x:v>FOUNDRY</x:v>
      </x:c>
      <x:c r="D92" s="67" t="str">
        <x:v>020171800896</x:v>
      </x:c>
      <x:c r="E92" s="54" t="b">
        <x:f>COUNTIF('BOM'!$A$4:$A$531,A92)&gt;0</x:f>
        <x:v>0</x:v>
      </x:c>
      <x:c r="F92" s="54" t="b">
        <x:f>COUNTIF('BOM'!$B$4:$B$531,A92)&gt;0</x:f>
        <x:v>1</x:v>
      </x:c>
      <x:c r="G92" s="54" t="str">
        <x:f>IF(COUNTIF($A$4:$A$431,A92)=1,"OK","DUPLICATE SKU")</x:f>
        <x:v>OK</x:v>
      </x:c>
      <x:c r="H92"/>
    </x:row>
    <x:row r="93">
      <x:c r="A93" s="54" t="str">
        <x:v>ASM-0011</x:v>
      </x:c>
      <x:c r="B93" s="54" t="str">
        <x:v>Gun Carriage Capsquare and Key</x:v>
      </x:c>
      <x:c r="C93" s="54" t="str">
        <x:v>FOUNDRY</x:v>
      </x:c>
      <x:c r="D93" s="67" t="str">
        <x:v>020171800902</x:v>
      </x:c>
      <x:c r="E93" s="54" t="b">
        <x:f>COUNTIF('BOM'!$A$4:$A$531,A93)&gt;0</x:f>
        <x:v>0</x:v>
      </x:c>
      <x:c r="F93" s="54" t="b">
        <x:f>COUNTIF('BOM'!$B$4:$B$531,A93)&gt;0</x:f>
        <x:v>1</x:v>
      </x:c>
      <x:c r="G93" s="54" t="str">
        <x:f>IF(COUNTIF($A$4:$A$431,A93)=1,"OK","DUPLICATE SKU")</x:f>
        <x:v>OK</x:v>
      </x:c>
      <x:c r="H93"/>
    </x:row>
    <x:row r="94">
      <x:c r="A94" s="54" t="str">
        <x:v>PRT-0030</x:v>
      </x:c>
      <x:c r="B94" s="54" t="str">
        <x:v>Gun Elevation Quoin</x:v>
      </x:c>
      <x:c r="C94" s="54" t="str">
        <x:v>CARPENTER</x:v>
      </x:c>
      <x:c r="D94" s="67" t="str">
        <x:v>020171800919</x:v>
      </x:c>
      <x:c r="E94" s="54" t="b">
        <x:f>COUNTIF('BOM'!$A$4:$A$531,A94)&gt;0</x:f>
        <x:v>0</x:v>
      </x:c>
      <x:c r="F94" s="54" t="b">
        <x:f>COUNTIF('BOM'!$B$4:$B$531,A94)&gt;0</x:f>
        <x:v>1</x:v>
      </x:c>
      <x:c r="G94" s="54" t="str">
        <x:f>IF(COUNTIF($A$4:$A$431,A94)=1,"OK","DUPLICATE SKU")</x:f>
        <x:v>OK</x:v>
      </x:c>
      <x:c r="H94"/>
    </x:row>
    <x:row r="95">
      <x:c r="A95" s="54" t="str">
        <x:v>PRT-0031</x:v>
      </x:c>
      <x:c r="B95" s="54" t="str">
        <x:v>Cannon Rammer</x:v>
      </x:c>
      <x:c r="C95" s="54" t="str">
        <x:v>GUNDECK</x:v>
      </x:c>
      <x:c r="D95" s="67" t="str">
        <x:v>020171800926</x:v>
      </x:c>
      <x:c r="E95" s="54" t="b">
        <x:f>COUNTIF('BOM'!$A$4:$A$531,A95)&gt;0</x:f>
        <x:v>0</x:v>
      </x:c>
      <x:c r="F95" s="54" t="b">
        <x:f>COUNTIF('BOM'!$B$4:$B$531,A95)&gt;0</x:f>
        <x:v>1</x:v>
      </x:c>
      <x:c r="G95" s="54" t="str">
        <x:f>IF(COUNTIF($A$4:$A$431,A95)=1,"OK","DUPLICATE SKU")</x:f>
        <x:v>OK</x:v>
      </x:c>
      <x:c r="H95"/>
    </x:row>
    <x:row r="96">
      <x:c r="A96" s="54" t="str">
        <x:v>PRT-0032</x:v>
      </x:c>
      <x:c r="B96" s="54" t="str">
        <x:v>Cannon Sponge</x:v>
      </x:c>
      <x:c r="C96" s="54" t="str">
        <x:v>GUNDECK</x:v>
      </x:c>
      <x:c r="D96" s="67" t="str">
        <x:v>020171800933</x:v>
      </x:c>
      <x:c r="E96" s="54" t="b">
        <x:f>COUNTIF('BOM'!$A$4:$A$531,A96)&gt;0</x:f>
        <x:v>0</x:v>
      </x:c>
      <x:c r="F96" s="54" t="b">
        <x:f>COUNTIF('BOM'!$B$4:$B$531,A96)&gt;0</x:f>
        <x:v>1</x:v>
      </x:c>
      <x:c r="G96" s="54" t="str">
        <x:f>IF(COUNTIF($A$4:$A$431,A96)=1,"OK","DUPLICATE SKU")</x:f>
        <x:v>OK</x:v>
      </x:c>
      <x:c r="H96"/>
    </x:row>
    <x:row r="97">
      <x:c r="A97" s="54" t="str">
        <x:v>PRT-0033</x:v>
      </x:c>
      <x:c r="B97" s="54" t="str">
        <x:v>Cannon Worm</x:v>
      </x:c>
      <x:c r="C97" s="54" t="str">
        <x:v>GUNDECK</x:v>
      </x:c>
      <x:c r="D97" s="67" t="str">
        <x:v>020171800940</x:v>
      </x:c>
      <x:c r="E97" s="54" t="b">
        <x:f>COUNTIF('BOM'!$A$4:$A$531,A97)&gt;0</x:f>
        <x:v>0</x:v>
      </x:c>
      <x:c r="F97" s="54" t="b">
        <x:f>COUNTIF('BOM'!$B$4:$B$531,A97)&gt;0</x:f>
        <x:v>1</x:v>
      </x:c>
      <x:c r="G97" s="54" t="str">
        <x:f>IF(COUNTIF($A$4:$A$431,A97)=1,"OK","DUPLICATE SKU")</x:f>
        <x:v>OK</x:v>
      </x:c>
      <x:c r="H97"/>
    </x:row>
    <x:row r="98">
      <x:c r="A98" s="54" t="str">
        <x:v>PRT-0034</x:v>
      </x:c>
      <x:c r="B98" s="54" t="str">
        <x:v>Powder Ladle</x:v>
      </x:c>
      <x:c r="C98" s="54" t="str">
        <x:v>GUNDECK</x:v>
      </x:c>
      <x:c r="D98" s="67" t="str">
        <x:v>020171800957</x:v>
      </x:c>
      <x:c r="E98" s="54" t="b">
        <x:f>COUNTIF('BOM'!$A$4:$A$531,A98)&gt;0</x:f>
        <x:v>0</x:v>
      </x:c>
      <x:c r="F98" s="54" t="b">
        <x:f>COUNTIF('BOM'!$B$4:$B$531,A98)&gt;0</x:f>
        <x:v>1</x:v>
      </x:c>
      <x:c r="G98" s="54" t="str">
        <x:f>IF(COUNTIF($A$4:$A$431,A98)=1,"OK","DUPLICATE SKU")</x:f>
        <x:v>OK</x:v>
      </x:c>
      <x:c r="H98"/>
    </x:row>
    <x:row r="99">
      <x:c r="A99" s="54" t="str">
        <x:v>PRT-0035</x:v>
      </x:c>
      <x:c r="B99" s="54" t="str">
        <x:v>Slow-Match Linstock</x:v>
      </x:c>
      <x:c r="C99" s="54" t="str">
        <x:v>GUNDECK</x:v>
      </x:c>
      <x:c r="D99" s="67" t="str">
        <x:v>020171800964</x:v>
      </x:c>
      <x:c r="E99" s="54" t="b">
        <x:f>COUNTIF('BOM'!$A$4:$A$531,A99)&gt;0</x:f>
        <x:v>0</x:v>
      </x:c>
      <x:c r="F99" s="54" t="b">
        <x:f>COUNTIF('BOM'!$B$4:$B$531,A99)&gt;0</x:f>
        <x:v>1</x:v>
      </x:c>
      <x:c r="G99" s="54" t="str">
        <x:f>IF(COUNTIF($A$4:$A$431,A99)=1,"OK","DUPLICATE SKU")</x:f>
        <x:v>OK</x:v>
      </x:c>
      <x:c r="H99"/>
    </x:row>
    <x:row r="100">
      <x:c r="A100" s="54" t="str">
        <x:v>PRT-0036</x:v>
      </x:c>
      <x:c r="B100" s="54" t="str">
        <x:v>Gunner's Handspike</x:v>
      </x:c>
      <x:c r="C100" s="54" t="str">
        <x:v>GUNDECK</x:v>
      </x:c>
      <x:c r="D100" s="67" t="str">
        <x:v>020171800971</x:v>
      </x:c>
      <x:c r="E100" s="54" t="b">
        <x:f>COUNTIF('BOM'!$A$4:$A$531,A100)&gt;0</x:f>
        <x:v>0</x:v>
      </x:c>
      <x:c r="F100" s="54" t="b">
        <x:f>COUNTIF('BOM'!$B$4:$B$531,A100)&gt;0</x:f>
        <x:v>1</x:v>
      </x:c>
      <x:c r="G100" s="54" t="str">
        <x:f>IF(COUNTIF($A$4:$A$431,A100)=1,"OK","DUPLICATE SKU")</x:f>
        <x:v>OK</x:v>
      </x:c>
      <x:c r="H100"/>
    </x:row>
    <x:row r="101">
      <x:c r="A101" s="54" t="str">
        <x:v>KIT-0015</x:v>
      </x:c>
      <x:c r="B101" s="54" t="str">
        <x:v>Vent Pick and Priming Wire Set</x:v>
      </x:c>
      <x:c r="C101" s="54" t="str">
        <x:v>GUNDECK</x:v>
      </x:c>
      <x:c r="D101" s="67" t="str">
        <x:v>020171800988</x:v>
      </x:c>
      <x:c r="E101" s="54" t="b">
        <x:f>COUNTIF('BOM'!$A$4:$A$531,A101)&gt;0</x:f>
        <x:v>0</x:v>
      </x:c>
      <x:c r="F101" s="54" t="b">
        <x:f>COUNTIF('BOM'!$B$4:$B$531,A101)&gt;0</x:f>
        <x:v>1</x:v>
      </x:c>
      <x:c r="G101" s="54" t="str">
        <x:f>IF(COUNTIF($A$4:$A$431,A101)=1,"OK","DUPLICATE SKU")</x:f>
        <x:v>OK</x:v>
      </x:c>
      <x:c r="H101"/>
    </x:row>
    <x:row r="102">
      <x:c r="A102" s="54" t="str">
        <x:v>PRT-0037</x:v>
      </x:c>
      <x:c r="B102" s="54" t="str">
        <x:v>Lead Touch-Hole Apron</x:v>
      </x:c>
      <x:c r="C102" s="54" t="str">
        <x:v>GUNDECK</x:v>
      </x:c>
      <x:c r="D102" s="67" t="str">
        <x:v>020171800995</x:v>
      </x:c>
      <x:c r="E102" s="54" t="b">
        <x:f>COUNTIF('BOM'!$A$4:$A$531,A102)&gt;0</x:f>
        <x:v>0</x:v>
      </x:c>
      <x:c r="F102" s="54" t="b">
        <x:f>COUNTIF('BOM'!$B$4:$B$531,A102)&gt;0</x:f>
        <x:v>1</x:v>
      </x:c>
      <x:c r="G102" s="54" t="str">
        <x:f>IF(COUNTIF($A$4:$A$431,A102)=1,"OK","DUPLICATE SKU")</x:f>
        <x:v>OK</x:v>
      </x:c>
      <x:c r="H102"/>
    </x:row>
    <x:row r="103">
      <x:c r="A103" s="54" t="str">
        <x:v>PRT-0038</x:v>
      </x:c>
      <x:c r="B103" s="54" t="str">
        <x:v>Six-Pounder Wooden Tompion</x:v>
      </x:c>
      <x:c r="C103" s="54" t="str">
        <x:v>CARPENTER</x:v>
      </x:c>
      <x:c r="D103" s="67" t="str">
        <x:v>020171801008</x:v>
      </x:c>
      <x:c r="E103" s="54" t="b">
        <x:f>COUNTIF('BOM'!$A$4:$A$531,A103)&gt;0</x:f>
        <x:v>0</x:v>
      </x:c>
      <x:c r="F103" s="54" t="b">
        <x:f>COUNTIF('BOM'!$B$4:$B$531,A103)&gt;0</x:f>
        <x:v>1</x:v>
      </x:c>
      <x:c r="G103" s="54" t="str">
        <x:f>IF(COUNTIF($A$4:$A$431,A103)=1,"OK","DUPLICATE SKU")</x:f>
        <x:v>OK</x:v>
      </x:c>
      <x:c r="H103"/>
    </x:row>
    <x:row r="104">
      <x:c r="A104" s="54" t="str">
        <x:v>PRT-0039</x:v>
      </x:c>
      <x:c r="B104" s="54" t="str">
        <x:v>Four-Pounder Wooden Tompion</x:v>
      </x:c>
      <x:c r="C104" s="54" t="str">
        <x:v>CARPENTER</x:v>
      </x:c>
      <x:c r="D104" s="67" t="str">
        <x:v>020171801015</x:v>
      </x:c>
      <x:c r="E104" s="54" t="b">
        <x:f>COUNTIF('BOM'!$A$4:$A$531,A104)&gt;0</x:f>
        <x:v>0</x:v>
      </x:c>
      <x:c r="F104" s="54" t="b">
        <x:f>COUNTIF('BOM'!$B$4:$B$531,A104)&gt;0</x:f>
        <x:v>1</x:v>
      </x:c>
      <x:c r="G104" s="54" t="str">
        <x:f>IF(COUNTIF($A$4:$A$431,A104)=1,"OK","DUPLICATE SKU")</x:f>
        <x:v>OK</x:v>
      </x:c>
      <x:c r="H104"/>
    </x:row>
    <x:row r="105">
      <x:c r="A105" s="54" t="str">
        <x:v>PRT-0040</x:v>
      </x:c>
      <x:c r="B105" s="54" t="str">
        <x:v>Gunner's Water Bucket</x:v>
      </x:c>
      <x:c r="C105" s="54" t="str">
        <x:v>GUNDECK</x:v>
      </x:c>
      <x:c r="D105" s="67" t="str">
        <x:v>020171801022</x:v>
      </x:c>
      <x:c r="E105" s="54" t="b">
        <x:f>COUNTIF('BOM'!$A$4:$A$531,A105)&gt;0</x:f>
        <x:v>0</x:v>
      </x:c>
      <x:c r="F105" s="54" t="b">
        <x:f>COUNTIF('BOM'!$B$4:$B$531,A105)&gt;0</x:f>
        <x:v>1</x:v>
      </x:c>
      <x:c r="G105" s="54" t="str">
        <x:f>IF(COUNTIF($A$4:$A$431,A105)=1,"OK","DUPLICATE SKU")</x:f>
        <x:v>OK</x:v>
      </x:c>
      <x:c r="H105"/>
    </x:row>
    <x:row r="106">
      <x:c r="A106" s="54" t="str">
        <x:v>ASM-0012</x:v>
      </x:c>
      <x:c r="B106" s="54" t="str">
        <x:v>Swivel-Gun Rammer and Sponge</x:v>
      </x:c>
      <x:c r="C106" s="54" t="str">
        <x:v>GUNDECK</x:v>
      </x:c>
      <x:c r="D106" s="67" t="str">
        <x:v>020171801039</x:v>
      </x:c>
      <x:c r="E106" s="54" t="b">
        <x:f>COUNTIF('BOM'!$A$4:$A$531,A106)&gt;0</x:f>
        <x:v>0</x:v>
      </x:c>
      <x:c r="F106" s="54" t="b">
        <x:f>COUNTIF('BOM'!$B$4:$B$531,A106)&gt;0</x:f>
        <x:v>1</x:v>
      </x:c>
      <x:c r="G106" s="54" t="str">
        <x:f>IF(COUNTIF($A$4:$A$431,A106)=1,"OK","DUPLICATE SKU")</x:f>
        <x:v>OK</x:v>
      </x:c>
      <x:c r="H106"/>
    </x:row>
    <x:row r="107">
      <x:c r="A107" s="54" t="str">
        <x:v>PRT-0041</x:v>
      </x:c>
      <x:c r="B107" s="54" t="str">
        <x:v>Iron Swivel Yoke</x:v>
      </x:c>
      <x:c r="C107" s="54" t="str">
        <x:v>FOUNDRY</x:v>
      </x:c>
      <x:c r="D107" s="67" t="str">
        <x:v>020171801046</x:v>
      </x:c>
      <x:c r="E107" s="54" t="b">
        <x:f>COUNTIF('BOM'!$A$4:$A$531,A107)&gt;0</x:f>
        <x:v>0</x:v>
      </x:c>
      <x:c r="F107" s="54" t="b">
        <x:f>COUNTIF('BOM'!$B$4:$B$531,A107)&gt;0</x:f>
        <x:v>1</x:v>
      </x:c>
      <x:c r="G107" s="54" t="str">
        <x:f>IF(COUNTIF($A$4:$A$431,A107)=1,"OK","DUPLICATE SKU")</x:f>
        <x:v>OK</x:v>
      </x:c>
      <x:c r="H107"/>
    </x:row>
    <x:row r="108">
      <x:c r="A108" s="54" t="str">
        <x:v>PRT-0042</x:v>
      </x:c>
      <x:c r="B108" s="54" t="str">
        <x:v>Iron Swivel Pintle</x:v>
      </x:c>
      <x:c r="C108" s="54" t="str">
        <x:v>FOUNDRY</x:v>
      </x:c>
      <x:c r="D108" s="67" t="str">
        <x:v>020171801053</x:v>
      </x:c>
      <x:c r="E108" s="54" t="b">
        <x:f>COUNTIF('BOM'!$A$4:$A$531,A108)&gt;0</x:f>
        <x:v>0</x:v>
      </x:c>
      <x:c r="F108" s="54" t="b">
        <x:f>COUNTIF('BOM'!$B$4:$B$531,A108)&gt;0</x:f>
        <x:v>1</x:v>
      </x:c>
      <x:c r="G108" s="54" t="str">
        <x:f>IF(COUNTIF($A$4:$A$431,A108)=1,"OK","DUPLICATE SKU")</x:f>
        <x:v>OK</x:v>
      </x:c>
      <x:c r="H108"/>
    </x:row>
    <x:row r="109">
      <x:c r="A109" s="54" t="str">
        <x:v>PRT-0043</x:v>
      </x:c>
      <x:c r="B109" s="54" t="str">
        <x:v>Six-Pounder Breeching Rope, 24 ft</x:v>
      </x:c>
      <x:c r="C109" s="54" t="str">
        <x:v>ROPEWALK</x:v>
      </x:c>
      <x:c r="D109" s="67" t="str">
        <x:v>020171801060</x:v>
      </x:c>
      <x:c r="E109" s="54" t="b">
        <x:f>COUNTIF('BOM'!$A$4:$A$531,A109)&gt;0</x:f>
        <x:v>0</x:v>
      </x:c>
      <x:c r="F109" s="54" t="b">
        <x:f>COUNTIF('BOM'!$B$4:$B$531,A109)&gt;0</x:f>
        <x:v>1</x:v>
      </x:c>
      <x:c r="G109" s="54" t="str">
        <x:f>IF(COUNTIF($A$4:$A$431,A109)=1,"OK","DUPLICATE SKU")</x:f>
        <x:v>OK</x:v>
      </x:c>
      <x:c r="H109"/>
    </x:row>
    <x:row r="110">
      <x:c r="A110" s="54" t="str">
        <x:v>PRT-0044</x:v>
      </x:c>
      <x:c r="B110" s="54" t="str">
        <x:v>Four-Pounder Breeching Rope, 20 ft</x:v>
      </x:c>
      <x:c r="C110" s="54" t="str">
        <x:v>ROPEWALK</x:v>
      </x:c>
      <x:c r="D110" s="67" t="str">
        <x:v>020171801077</x:v>
      </x:c>
      <x:c r="E110" s="54" t="b">
        <x:f>COUNTIF('BOM'!$A$4:$A$531,A110)&gt;0</x:f>
        <x:v>0</x:v>
      </x:c>
      <x:c r="F110" s="54" t="b">
        <x:f>COUNTIF('BOM'!$B$4:$B$531,A110)&gt;0</x:f>
        <x:v>1</x:v>
      </x:c>
      <x:c r="G110" s="54" t="str">
        <x:f>IF(COUNTIF($A$4:$A$431,A110)=1,"OK","DUPLICATE SKU")</x:f>
        <x:v>OK</x:v>
      </x:c>
      <x:c r="H110"/>
    </x:row>
    <x:row r="111">
      <x:c r="A111" s="54" t="str">
        <x:v>ASM-0013</x:v>
      </x:c>
      <x:c r="B111" s="54" t="str">
        <x:v>Gun Side-Tackle Assembly</x:v>
      </x:c>
      <x:c r="C111" s="54" t="str">
        <x:v>ROPEWALK</x:v>
      </x:c>
      <x:c r="D111" s="67" t="str">
        <x:v>020171801084</x:v>
      </x:c>
      <x:c r="E111" s="54" t="b">
        <x:f>COUNTIF('BOM'!$A$4:$A$531,A111)&gt;0</x:f>
        <x:v>1</x:v>
      </x:c>
      <x:c r="F111" s="54" t="b">
        <x:f>COUNTIF('BOM'!$B$4:$B$531,A111)&gt;0</x:f>
        <x:v>1</x:v>
      </x:c>
      <x:c r="G111" s="54" t="str">
        <x:f>IF(COUNTIF($A$4:$A$431,A111)=1,"OK","DUPLICATE SKU")</x:f>
        <x:v>OK</x:v>
      </x:c>
      <x:c r="H111"/>
    </x:row>
    <x:row r="112">
      <x:c r="A112" s="54" t="str">
        <x:v>PRT-0045</x:v>
      </x:c>
      <x:c r="B112" s="54" t="str">
        <x:v>Five-Inch Single Block</x:v>
      </x:c>
      <x:c r="C112" s="54" t="str">
        <x:v>BLOCKSHOP</x:v>
      </x:c>
      <x:c r="D112" s="67" t="str">
        <x:v>020171801091</x:v>
      </x:c>
      <x:c r="E112" s="54" t="b">
        <x:f>COUNTIF('BOM'!$A$4:$A$531,A112)&gt;0</x:f>
        <x:v>0</x:v>
      </x:c>
      <x:c r="F112" s="54" t="b">
        <x:f>COUNTIF('BOM'!$B$4:$B$531,A112)&gt;0</x:f>
        <x:v>1</x:v>
      </x:c>
      <x:c r="G112" s="54" t="str">
        <x:f>IF(COUNTIF($A$4:$A$431,A112)=1,"OK","DUPLICATE SKU")</x:f>
        <x:v>OK</x:v>
      </x:c>
      <x:c r="H112"/>
    </x:row>
    <x:row r="113">
      <x:c r="A113" s="54" t="str">
        <x:v>PRT-0046</x:v>
      </x:c>
      <x:c r="B113" s="54" t="str">
        <x:v>Five-Inch Double Block</x:v>
      </x:c>
      <x:c r="C113" s="54" t="str">
        <x:v>BLOCKSHOP</x:v>
      </x:c>
      <x:c r="D113" s="67" t="str">
        <x:v>020171801107</x:v>
      </x:c>
      <x:c r="E113" s="54" t="b">
        <x:f>COUNTIF('BOM'!$A$4:$A$531,A113)&gt;0</x:f>
        <x:v>0</x:v>
      </x:c>
      <x:c r="F113" s="54" t="b">
        <x:f>COUNTIF('BOM'!$B$4:$B$531,A113)&gt;0</x:f>
        <x:v>1</x:v>
      </x:c>
      <x:c r="G113" s="54" t="str">
        <x:f>IF(COUNTIF($A$4:$A$431,A113)=1,"OK","DUPLICATE SKU")</x:f>
        <x:v>OK</x:v>
      </x:c>
      <x:c r="H113"/>
    </x:row>
    <x:row r="114">
      <x:c r="A114" s="54" t="str">
        <x:v>PRT-0047</x:v>
      </x:c>
      <x:c r="B114" s="54" t="str">
        <x:v>Gun Tackle Fall, 30 ft</x:v>
      </x:c>
      <x:c r="C114" s="54" t="str">
        <x:v>ROPEWALK</x:v>
      </x:c>
      <x:c r="D114" s="67" t="str">
        <x:v>020171801114</x:v>
      </x:c>
      <x:c r="E114" s="54" t="b">
        <x:f>COUNTIF('BOM'!$A$4:$A$531,A114)&gt;0</x:f>
        <x:v>0</x:v>
      </x:c>
      <x:c r="F114" s="54" t="b">
        <x:f>COUNTIF('BOM'!$B$4:$B$531,A114)&gt;0</x:f>
        <x:v>1</x:v>
      </x:c>
      <x:c r="G114" s="54" t="str">
        <x:f>IF(COUNTIF($A$4:$A$431,A114)=1,"OK","DUPLICATE SKU")</x:f>
        <x:v>OK</x:v>
      </x:c>
      <x:c r="H114"/>
    </x:row>
    <x:row r="115">
      <x:c r="A115" s="54" t="str">
        <x:v>PRT-0048</x:v>
      </x:c>
      <x:c r="B115" s="54" t="str">
        <x:v>Iron Tackle Hook</x:v>
      </x:c>
      <x:c r="C115" s="54" t="str">
        <x:v>FOUNDRY</x:v>
      </x:c>
      <x:c r="D115" s="67" t="str">
        <x:v>020171801121</x:v>
      </x:c>
      <x:c r="E115" s="54" t="b">
        <x:f>COUNTIF('BOM'!$A$4:$A$531,A115)&gt;0</x:f>
        <x:v>0</x:v>
      </x:c>
      <x:c r="F115" s="54" t="b">
        <x:f>COUNTIF('BOM'!$B$4:$B$531,A115)&gt;0</x:f>
        <x:v>1</x:v>
      </x:c>
      <x:c r="G115" s="54" t="str">
        <x:f>IF(COUNTIF($A$4:$A$431,A115)=1,"OK","DUPLICATE SKU")</x:f>
        <x:v>OK</x:v>
      </x:c>
      <x:c r="H115"/>
    </x:row>
    <x:row r="116">
      <x:c r="A116" s="54" t="str">
        <x:v>PRT-0049</x:v>
      </x:c>
      <x:c r="B116" s="54" t="str">
        <x:v>Six-Pound Round Shot</x:v>
      </x:c>
      <x:c r="C116" s="54" t="str">
        <x:v>MAGAZINE</x:v>
      </x:c>
      <x:c r="D116" s="67" t="str">
        <x:v>020171801138</x:v>
      </x:c>
      <x:c r="E116" s="54" t="b">
        <x:f>COUNTIF('BOM'!$A$4:$A$531,A116)&gt;0</x:f>
        <x:v>0</x:v>
      </x:c>
      <x:c r="F116" s="54" t="b">
        <x:f>COUNTIF('BOM'!$B$4:$B$531,A116)&gt;0</x:f>
        <x:v>1</x:v>
      </x:c>
      <x:c r="G116" s="54" t="str">
        <x:f>IF(COUNTIF($A$4:$A$431,A116)=1,"OK","DUPLICATE SKU")</x:f>
        <x:v>OK</x:v>
      </x:c>
      <x:c r="H116"/>
    </x:row>
    <x:row r="117">
      <x:c r="A117" s="54" t="str">
        <x:v>PRT-0050</x:v>
      </x:c>
      <x:c r="B117" s="54" t="str">
        <x:v>Four-Pound Round Shot</x:v>
      </x:c>
      <x:c r="C117" s="54" t="str">
        <x:v>MAGAZINE</x:v>
      </x:c>
      <x:c r="D117" s="67" t="str">
        <x:v>020171801145</x:v>
      </x:c>
      <x:c r="E117" s="54" t="b">
        <x:f>COUNTIF('BOM'!$A$4:$A$531,A117)&gt;0</x:f>
        <x:v>0</x:v>
      </x:c>
      <x:c r="F117" s="54" t="b">
        <x:f>COUNTIF('BOM'!$B$4:$B$531,A117)&gt;0</x:f>
        <x:v>1</x:v>
      </x:c>
      <x:c r="G117" s="54" t="str">
        <x:f>IF(COUNTIF($A$4:$A$431,A117)=1,"OK","DUPLICATE SKU")</x:f>
        <x:v>OK</x:v>
      </x:c>
      <x:c r="H117"/>
    </x:row>
    <x:row r="118">
      <x:c r="A118" s="54" t="str">
        <x:v>PRT-0051</x:v>
      </x:c>
      <x:c r="B118" s="54" t="str">
        <x:v>Half-Pound Swivel-Gun Lead Shot</x:v>
      </x:c>
      <x:c r="C118" s="54" t="str">
        <x:v>MAGAZINE</x:v>
      </x:c>
      <x:c r="D118" s="67" t="str">
        <x:v>020171801152</x:v>
      </x:c>
      <x:c r="E118" s="54" t="b">
        <x:f>COUNTIF('BOM'!$A$4:$A$531,A118)&gt;0</x:f>
        <x:v>0</x:v>
      </x:c>
      <x:c r="F118" s="54" t="b">
        <x:f>COUNTIF('BOM'!$B$4:$B$531,A118)&gt;0</x:f>
        <x:v>1</x:v>
      </x:c>
      <x:c r="G118" s="54" t="str">
        <x:f>IF(COUNTIF($A$4:$A$431,A118)=1,"OK","DUPLICATE SKU")</x:f>
        <x:v>OK</x:v>
      </x:c>
      <x:c r="H118"/>
    </x:row>
    <x:row r="119">
      <x:c r="A119" s="54" t="str">
        <x:v>PRT-0052</x:v>
      </x:c>
      <x:c r="B119" s="54" t="str">
        <x:v>Six-Pounder Bar Shot</x:v>
      </x:c>
      <x:c r="C119" s="54" t="str">
        <x:v>MAGAZINE</x:v>
      </x:c>
      <x:c r="D119" s="67" t="str">
        <x:v>020171801169</x:v>
      </x:c>
      <x:c r="E119" s="54" t="b">
        <x:f>COUNTIF('BOM'!$A$4:$A$531,A119)&gt;0</x:f>
        <x:v>0</x:v>
      </x:c>
      <x:c r="F119" s="54" t="b">
        <x:f>COUNTIF('BOM'!$B$4:$B$531,A119)&gt;0</x:f>
        <x:v>1</x:v>
      </x:c>
      <x:c r="G119" s="54" t="str">
        <x:f>IF(COUNTIF($A$4:$A$431,A119)=1,"OK","DUPLICATE SKU")</x:f>
        <x:v>OK</x:v>
      </x:c>
      <x:c r="H119"/>
    </x:row>
    <x:row r="120">
      <x:c r="A120" s="54" t="str">
        <x:v>ASM-0014</x:v>
      </x:c>
      <x:c r="B120" s="54" t="str">
        <x:v>Langrage Canister</x:v>
      </x:c>
      <x:c r="C120" s="54" t="str">
        <x:v>MAGAZINE</x:v>
      </x:c>
      <x:c r="D120" s="67" t="str">
        <x:v>020171801176</x:v>
      </x:c>
      <x:c r="E120" s="54" t="b">
        <x:f>COUNTIF('BOM'!$A$4:$A$531,A120)&gt;0</x:f>
        <x:v>0</x:v>
      </x:c>
      <x:c r="F120" s="54" t="b">
        <x:f>COUNTIF('BOM'!$B$4:$B$531,A120)&gt;0</x:f>
        <x:v>1</x:v>
      </x:c>
      <x:c r="G120" s="54" t="str">
        <x:f>IF(COUNTIF($A$4:$A$431,A120)=1,"OK","DUPLICATE SKU")</x:f>
        <x:v>OK</x:v>
      </x:c>
      <x:c r="H120"/>
    </x:row>
    <x:row r="121">
      <x:c r="A121" s="54" t="str">
        <x:v>MAT-0002</x:v>
      </x:c>
      <x:c r="B121" s="54" t="str">
        <x:v>Six-Pounder Cannon Wad</x:v>
      </x:c>
      <x:c r="C121" s="54" t="str">
        <x:v>MAGAZINE</x:v>
      </x:c>
      <x:c r="D121" s="67" t="str">
        <x:v>020171801183</x:v>
      </x:c>
      <x:c r="E121" s="54" t="b">
        <x:f>COUNTIF('BOM'!$A$4:$A$531,A121)&gt;0</x:f>
        <x:v>0</x:v>
      </x:c>
      <x:c r="F121" s="54" t="b">
        <x:f>COUNTIF('BOM'!$B$4:$B$531,A121)&gt;0</x:f>
        <x:v>1</x:v>
      </x:c>
      <x:c r="G121" s="54" t="str">
        <x:f>IF(COUNTIF($A$4:$A$431,A121)=1,"OK","DUPLICATE SKU")</x:f>
        <x:v>OK</x:v>
      </x:c>
      <x:c r="H121"/>
    </x:row>
    <x:row r="122">
      <x:c r="A122" s="54" t="str">
        <x:v>MAT-0003</x:v>
      </x:c>
      <x:c r="B122" s="54" t="str">
        <x:v>Four-Pounder Cannon Wad</x:v>
      </x:c>
      <x:c r="C122" s="54" t="str">
        <x:v>MAGAZINE</x:v>
      </x:c>
      <x:c r="D122" s="67" t="str">
        <x:v>020171801190</x:v>
      </x:c>
      <x:c r="E122" s="54" t="b">
        <x:f>COUNTIF('BOM'!$A$4:$A$531,A122)&gt;0</x:f>
        <x:v>0</x:v>
      </x:c>
      <x:c r="F122" s="54" t="b">
        <x:f>COUNTIF('BOM'!$B$4:$B$531,A122)&gt;0</x:f>
        <x:v>1</x:v>
      </x:c>
      <x:c r="G122" s="54" t="str">
        <x:f>IF(COUNTIF($A$4:$A$431,A122)=1,"OK","DUPLICATE SKU")</x:f>
        <x:v>OK</x:v>
      </x:c>
      <x:c r="H122"/>
    </x:row>
    <x:row r="123">
      <x:c r="A123" s="54" t="str">
        <x:v>ASM-0015</x:v>
      </x:c>
      <x:c r="B123" s="54" t="str">
        <x:v>Six-Pounder Ready-Shot Rack</x:v>
      </x:c>
      <x:c r="C123" s="54" t="str">
        <x:v>CARPENTER</x:v>
      </x:c>
      <x:c r="D123" s="67" t="str">
        <x:v>020171801206</x:v>
      </x:c>
      <x:c r="E123" s="54" t="b">
        <x:f>COUNTIF('BOM'!$A$4:$A$531,A123)&gt;0</x:f>
        <x:v>0</x:v>
      </x:c>
      <x:c r="F123" s="54" t="b">
        <x:f>COUNTIF('BOM'!$B$4:$B$531,A123)&gt;0</x:f>
        <x:v>1</x:v>
      </x:c>
      <x:c r="G123" s="54" t="str">
        <x:f>IF(COUNTIF($A$4:$A$431,A123)=1,"OK","DUPLICATE SKU")</x:f>
        <x:v>OK</x:v>
      </x:c>
      <x:c r="H123"/>
    </x:row>
    <x:row r="124">
      <x:c r="A124" s="54" t="str">
        <x:v>ASM-0016</x:v>
      </x:c>
      <x:c r="B124" s="54" t="str">
        <x:v>Four-Pounder Ready-Shot Rack</x:v>
      </x:c>
      <x:c r="C124" s="54" t="str">
        <x:v>CARPENTER</x:v>
      </x:c>
      <x:c r="D124" s="67" t="str">
        <x:v>020171801213</x:v>
      </x:c>
      <x:c r="E124" s="54" t="b">
        <x:f>COUNTIF('BOM'!$A$4:$A$531,A124)&gt;0</x:f>
        <x:v>0</x:v>
      </x:c>
      <x:c r="F124" s="54" t="b">
        <x:f>COUNTIF('BOM'!$B$4:$B$531,A124)&gt;0</x:f>
        <x:v>1</x:v>
      </x:c>
      <x:c r="G124" s="54" t="str">
        <x:f>IF(COUNTIF($A$4:$A$431,A124)=1,"OK","DUPLICATE SKU")</x:f>
        <x:v>OK</x:v>
      </x:c>
      <x:c r="H124"/>
    </x:row>
    <x:row r="125">
      <x:c r="A125" s="54" t="str">
        <x:v>PKG-0001</x:v>
      </x:c>
      <x:c r="B125" s="54" t="str">
        <x:v>Swivel Shot Box</x:v>
      </x:c>
      <x:c r="C125" s="54" t="str">
        <x:v>CARPENTER</x:v>
      </x:c>
      <x:c r="D125" s="67" t="str">
        <x:v>020171801220</x:v>
      </x:c>
      <x:c r="E125" s="54" t="b">
        <x:f>COUNTIF('BOM'!$A$4:$A$531,A125)&gt;0</x:f>
        <x:v>0</x:v>
      </x:c>
      <x:c r="F125" s="54" t="b">
        <x:f>COUNTIF('BOM'!$B$4:$B$531,A125)&gt;0</x:f>
        <x:v>1</x:v>
      </x:c>
      <x:c r="G125" s="54" t="str">
        <x:f>IF(COUNTIF($A$4:$A$431,A125)=1,"OK","DUPLICATE SKU")</x:f>
        <x:v>OK</x:v>
      </x:c>
      <x:c r="H125"/>
    </x:row>
    <x:row r="126">
      <x:c r="A126" s="54" t="str">
        <x:v>ASM-0017</x:v>
      </x:c>
      <x:c r="B126" s="54" t="str">
        <x:v>Black Powder Keg, Sealed 25 lb</x:v>
      </x:c>
      <x:c r="C126" s="54" t="str">
        <x:v>MAGAZINE</x:v>
      </x:c>
      <x:c r="D126" s="67" t="str">
        <x:v>020171801237</x:v>
      </x:c>
      <x:c r="E126" s="54" t="b">
        <x:f>COUNTIF('BOM'!$A$4:$A$531,A126)&gt;0</x:f>
        <x:v>1</x:v>
      </x:c>
      <x:c r="F126" s="54" t="b">
        <x:f>COUNTIF('BOM'!$B$4:$B$531,A126)&gt;0</x:f>
        <x:v>1</x:v>
      </x:c>
      <x:c r="G126" s="54" t="str">
        <x:f>IF(COUNTIF($A$4:$A$431,A126)=1,"OK","DUPLICATE SKU")</x:f>
        <x:v>OK</x:v>
      </x:c>
      <x:c r="H126"/>
    </x:row>
    <x:row r="127">
      <x:c r="A127" s="54" t="str">
        <x:v>PKG-0002</x:v>
      </x:c>
      <x:c r="B127" s="54" t="str">
        <x:v>Oak Powder Keg, 25 lb Capacity</x:v>
      </x:c>
      <x:c r="C127" s="54" t="str">
        <x:v>COOPER</x:v>
      </x:c>
      <x:c r="D127" s="67" t="str">
        <x:v>020171801244</x:v>
      </x:c>
      <x:c r="E127" s="54" t="b">
        <x:f>COUNTIF('BOM'!$A$4:$A$531,A127)&gt;0</x:f>
        <x:v>0</x:v>
      </x:c>
      <x:c r="F127" s="54" t="b">
        <x:f>COUNTIF('BOM'!$B$4:$B$531,A127)&gt;0</x:f>
        <x:v>1</x:v>
      </x:c>
      <x:c r="G127" s="54" t="str">
        <x:f>IF(COUNTIF($A$4:$A$431,A127)=1,"OK","DUPLICATE SKU")</x:f>
        <x:v>OK</x:v>
      </x:c>
      <x:c r="H127"/>
    </x:row>
    <x:row r="128">
      <x:c r="A128" s="54" t="str">
        <x:v>MAT-0004</x:v>
      </x:c>
      <x:c r="B128" s="54" t="str">
        <x:v>Black Powder, Bulk Pound</x:v>
      </x:c>
      <x:c r="C128" s="54" t="str">
        <x:v>MAGAZINE</x:v>
      </x:c>
      <x:c r="D128" s="67" t="str">
        <x:v>020171801251</x:v>
      </x:c>
      <x:c r="E128" s="54" t="b">
        <x:f>COUNTIF('BOM'!$A$4:$A$531,A128)&gt;0</x:f>
        <x:v>0</x:v>
      </x:c>
      <x:c r="F128" s="54" t="b">
        <x:f>COUNTIF('BOM'!$B$4:$B$531,A128)&gt;0</x:f>
        <x:v>1</x:v>
      </x:c>
      <x:c r="G128" s="54" t="str">
        <x:f>IF(COUNTIF($A$4:$A$431,A128)=1,"OK","DUPLICATE SKU")</x:f>
        <x:v>OK</x:v>
      </x:c>
      <x:c r="H128"/>
    </x:row>
    <x:row r="129">
      <x:c r="A129" s="54" t="str">
        <x:v>LBL-0004</x:v>
      </x:c>
      <x:c r="B129" s="54" t="str">
        <x:v>Safety Label - Black Powder / No Flame</x:v>
      </x:c>
      <x:c r="C129" s="54" t="str">
        <x:v>LABELSHOP</x:v>
      </x:c>
      <x:c r="D129" s="67" t="str">
        <x:v>020171801268</x:v>
      </x:c>
      <x:c r="E129" s="54" t="b">
        <x:f>COUNTIF('BOM'!$A$4:$A$531,A129)&gt;0</x:f>
        <x:v>0</x:v>
      </x:c>
      <x:c r="F129" s="54" t="b">
        <x:f>COUNTIF('BOM'!$B$4:$B$531,A129)&gt;0</x:f>
        <x:v>1</x:v>
      </x:c>
      <x:c r="G129" s="54" t="str">
        <x:f>IF(COUNTIF($A$4:$A$431,A129)=1,"OK","DUPLICATE SKU")</x:f>
        <x:v>OK</x:v>
      </x:c>
      <x:c r="H129"/>
    </x:row>
    <x:row r="130">
      <x:c r="A130" s="54" t="str">
        <x:v>KIT-0016</x:v>
      </x:c>
      <x:c r="B130" s="54" t="str">
        <x:v>Magazine Measuring and Issue Kit</x:v>
      </x:c>
      <x:c r="C130" s="54" t="str">
        <x:v>MAGAZINE</x:v>
      </x:c>
      <x:c r="D130" s="67" t="str">
        <x:v>020171801275</x:v>
      </x:c>
      <x:c r="E130" s="54" t="b">
        <x:f>COUNTIF('BOM'!$A$4:$A$531,A130)&gt;0</x:f>
        <x:v>1</x:v>
      </x:c>
      <x:c r="F130" s="54" t="b">
        <x:f>COUNTIF('BOM'!$B$4:$B$531,A130)&gt;0</x:f>
        <x:v>1</x:v>
      </x:c>
      <x:c r="G130" s="54" t="str">
        <x:f>IF(COUNTIF($A$4:$A$431,A130)=1,"OK","DUPLICATE SKU")</x:f>
        <x:v>OK</x:v>
      </x:c>
      <x:c r="H130"/>
    </x:row>
    <x:row r="131">
      <x:c r="A131" s="54" t="str">
        <x:v>ASM-0018</x:v>
      </x:c>
      <x:c r="B131" s="54" t="str">
        <x:v>Enclosed Magazine Lantern</x:v>
      </x:c>
      <x:c r="C131" s="54" t="str">
        <x:v>TINSHOP</x:v>
      </x:c>
      <x:c r="D131" s="67" t="str">
        <x:v>020171801282</x:v>
      </x:c>
      <x:c r="E131" s="54" t="b">
        <x:f>COUNTIF('BOM'!$A$4:$A$531,A131)&gt;0</x:f>
        <x:v>0</x:v>
      </x:c>
      <x:c r="F131" s="54" t="b">
        <x:f>COUNTIF('BOM'!$B$4:$B$531,A131)&gt;0</x:f>
        <x:v>1</x:v>
      </x:c>
      <x:c r="G131" s="54" t="str">
        <x:f>IF(COUNTIF($A$4:$A$431,A131)=1,"OK","DUPLICATE SKU")</x:f>
        <x:v>OK</x:v>
      </x:c>
      <x:c r="H131"/>
    </x:row>
    <x:row r="132">
      <x:c r="A132" s="54" t="str">
        <x:v>PKG-0003</x:v>
      </x:c>
      <x:c r="B132" s="54" t="str">
        <x:v>Leather-Lined Powder Passing Box</x:v>
      </x:c>
      <x:c r="C132" s="54" t="str">
        <x:v>LEATHER</x:v>
      </x:c>
      <x:c r="D132" s="67" t="str">
        <x:v>020171801299</x:v>
      </x:c>
      <x:c r="E132" s="54" t="b">
        <x:f>COUNTIF('BOM'!$A$4:$A$531,A132)&gt;0</x:f>
        <x:v>0</x:v>
      </x:c>
      <x:c r="F132" s="54" t="b">
        <x:f>COUNTIF('BOM'!$B$4:$B$531,A132)&gt;0</x:f>
        <x:v>1</x:v>
      </x:c>
      <x:c r="G132" s="54" t="str">
        <x:f>IF(COUNTIF($A$4:$A$431,A132)=1,"OK","DUPLICATE SKU")</x:f>
        <x:v>OK</x:v>
      </x:c>
      <x:c r="H132"/>
    </x:row>
    <x:row r="133">
      <x:c r="A133" s="54" t="str">
        <x:v>PRT-0053</x:v>
      </x:c>
      <x:c r="B133" s="54" t="str">
        <x:v>Brass Powder Scale</x:v>
      </x:c>
      <x:c r="C133" s="54" t="str">
        <x:v>MAGAZINE</x:v>
      </x:c>
      <x:c r="D133" s="67" t="str">
        <x:v>020171801305</x:v>
      </x:c>
      <x:c r="E133" s="54" t="b">
        <x:f>COUNTIF('BOM'!$A$4:$A$531,A133)&gt;0</x:f>
        <x:v>0</x:v>
      </x:c>
      <x:c r="F133" s="54" t="b">
        <x:f>COUNTIF('BOM'!$B$4:$B$531,A133)&gt;0</x:f>
        <x:v>1</x:v>
      </x:c>
      <x:c r="G133" s="54" t="str">
        <x:f>IF(COUNTIF($A$4:$A$431,A133)=1,"OK","DUPLICATE SKU")</x:f>
        <x:v>OK</x:v>
      </x:c>
      <x:c r="H133"/>
    </x:row>
    <x:row r="134">
      <x:c r="A134" s="54" t="str">
        <x:v>KIT-0017</x:v>
      </x:c>
      <x:c r="B134" s="54" t="str">
        <x:v>Brass Powder Weight Set</x:v>
      </x:c>
      <x:c r="C134" s="54" t="str">
        <x:v>MAGAZINE</x:v>
      </x:c>
      <x:c r="D134" s="67" t="str">
        <x:v>020171801312</x:v>
      </x:c>
      <x:c r="E134" s="54" t="b">
        <x:f>COUNTIF('BOM'!$A$4:$A$531,A134)&gt;0</x:f>
        <x:v>0</x:v>
      </x:c>
      <x:c r="F134" s="54" t="b">
        <x:f>COUNTIF('BOM'!$B$4:$B$531,A134)&gt;0</x:f>
        <x:v>1</x:v>
      </x:c>
      <x:c r="G134" s="54" t="str">
        <x:f>IF(COUNTIF($A$4:$A$431,A134)=1,"OK","DUPLICATE SKU")</x:f>
        <x:v>OK</x:v>
      </x:c>
      <x:c r="H134"/>
    </x:row>
    <x:row r="135">
      <x:c r="A135" s="54" t="str">
        <x:v>PRT-0054</x:v>
      </x:c>
      <x:c r="B135" s="54" t="str">
        <x:v>Copper Powder Scoop</x:v>
      </x:c>
      <x:c r="C135" s="54" t="str">
        <x:v>MAGAZINE</x:v>
      </x:c>
      <x:c r="D135" s="67" t="str">
        <x:v>020171801329</x:v>
      </x:c>
      <x:c r="E135" s="54" t="b">
        <x:f>COUNTIF('BOM'!$A$4:$A$531,A135)&gt;0</x:f>
        <x:v>0</x:v>
      </x:c>
      <x:c r="F135" s="54" t="b">
        <x:f>COUNTIF('BOM'!$B$4:$B$531,A135)&gt;0</x:f>
        <x:v>1</x:v>
      </x:c>
      <x:c r="G135" s="54" t="str">
        <x:f>IF(COUNTIF($A$4:$A$431,A135)=1,"OK","DUPLICATE SKU")</x:f>
        <x:v>OK</x:v>
      </x:c>
      <x:c r="H135"/>
    </x:row>
    <x:row r="136">
      <x:c r="A136" s="54" t="str">
        <x:v>PRT-0055</x:v>
      </x:c>
      <x:c r="B136" s="54" t="str">
        <x:v>Copper Cartridge Funnel</x:v>
      </x:c>
      <x:c r="C136" s="54" t="str">
        <x:v>MAGAZINE</x:v>
      </x:c>
      <x:c r="D136" s="67" t="str">
        <x:v>020171801336</x:v>
      </x:c>
      <x:c r="E136" s="54" t="b">
        <x:f>COUNTIF('BOM'!$A$4:$A$531,A136)&gt;0</x:f>
        <x:v>0</x:v>
      </x:c>
      <x:c r="F136" s="54" t="b">
        <x:f>COUNTIF('BOM'!$B$4:$B$531,A136)&gt;0</x:f>
        <x:v>1</x:v>
      </x:c>
      <x:c r="G136" s="54" t="str">
        <x:f>IF(COUNTIF($A$4:$A$431,A136)=1,"OK","DUPLICATE SKU")</x:f>
        <x:v>OK</x:v>
      </x:c>
      <x:c r="H136"/>
    </x:row>
    <x:row r="137">
      <x:c r="A137" s="54" t="str">
        <x:v>MAT-0005</x:v>
      </x:c>
      <x:c r="B137" s="54" t="str">
        <x:v>Six-Pounder Powder Cartridge Bag</x:v>
      </x:c>
      <x:c r="C137" s="54" t="str">
        <x:v>SAILLOFT</x:v>
      </x:c>
      <x:c r="D137" s="67" t="str">
        <x:v>020171801343</x:v>
      </x:c>
      <x:c r="E137" s="54" t="b">
        <x:f>COUNTIF('BOM'!$A$4:$A$531,A137)&gt;0</x:f>
        <x:v>0</x:v>
      </x:c>
      <x:c r="F137" s="54" t="b">
        <x:f>COUNTIF('BOM'!$B$4:$B$531,A137)&gt;0</x:f>
        <x:v>1</x:v>
      </x:c>
      <x:c r="G137" s="54" t="str">
        <x:f>IF(COUNTIF($A$4:$A$431,A137)=1,"OK","DUPLICATE SKU")</x:f>
        <x:v>OK</x:v>
      </x:c>
      <x:c r="H137"/>
    </x:row>
    <x:row r="138">
      <x:c r="A138" s="54" t="str">
        <x:v>MAT-0006</x:v>
      </x:c>
      <x:c r="B138" s="54" t="str">
        <x:v>Four-Pounder Powder Cartridge Bag</x:v>
      </x:c>
      <x:c r="C138" s="54" t="str">
        <x:v>SAILLOFT</x:v>
      </x:c>
      <x:c r="D138" s="67" t="str">
        <x:v>020171801350</x:v>
      </x:c>
      <x:c r="E138" s="54" t="b">
        <x:f>COUNTIF('BOM'!$A$4:$A$531,A138)&gt;0</x:f>
        <x:v>0</x:v>
      </x:c>
      <x:c r="F138" s="54" t="b">
        <x:f>COUNTIF('BOM'!$B$4:$B$531,A138)&gt;0</x:f>
        <x:v>1</x:v>
      </x:c>
      <x:c r="G138" s="54" t="str">
        <x:f>IF(COUNTIF($A$4:$A$431,A138)=1,"OK","DUPLICATE SKU")</x:f>
        <x:v>OK</x:v>
      </x:c>
      <x:c r="H138"/>
    </x:row>
    <x:row r="139">
      <x:c r="A139" s="54" t="str">
        <x:v>KIT-0018</x:v>
      </x:c>
      <x:c r="B139" s="54" t="str">
        <x:v>Flintlock Musket Outfit</x:v>
      </x:c>
      <x:c r="C139" s="54" t="str">
        <x:v>ARMORER</x:v>
      </x:c>
      <x:c r="D139" s="67" t="str">
        <x:v>020171801367</x:v>
      </x:c>
      <x:c r="E139" s="54" t="b">
        <x:f>COUNTIF('BOM'!$A$4:$A$531,A139)&gt;0</x:f>
        <x:v>1</x:v>
      </x:c>
      <x:c r="F139" s="54" t="b">
        <x:f>COUNTIF('BOM'!$B$4:$B$531,A139)&gt;0</x:f>
        <x:v>1</x:v>
      </x:c>
      <x:c r="G139" s="54" t="str">
        <x:f>IF(COUNTIF($A$4:$A$431,A139)=1,"OK","DUPLICATE SKU")</x:f>
        <x:v>OK</x:v>
      </x:c>
      <x:c r="H139"/>
    </x:row>
    <x:row r="140">
      <x:c r="A140" s="54" t="str">
        <x:v>KIT-0019</x:v>
      </x:c>
      <x:c r="B140" s="54" t="str">
        <x:v>Flintlock Pistol Pair Outfit</x:v>
      </x:c>
      <x:c r="C140" s="54" t="str">
        <x:v>ARMORER</x:v>
      </x:c>
      <x:c r="D140" s="67" t="str">
        <x:v>020171801374</x:v>
      </x:c>
      <x:c r="E140" s="54" t="b">
        <x:f>COUNTIF('BOM'!$A$4:$A$531,A140)&gt;0</x:f>
        <x:v>1</x:v>
      </x:c>
      <x:c r="F140" s="54" t="b">
        <x:f>COUNTIF('BOM'!$B$4:$B$531,A140)&gt;0</x:f>
        <x:v>1</x:v>
      </x:c>
      <x:c r="G140" s="54" t="str">
        <x:f>IF(COUNTIF($A$4:$A$431,A140)=1,"OK","DUPLICATE SKU")</x:f>
        <x:v>OK</x:v>
      </x:c>
      <x:c r="H140"/>
    </x:row>
    <x:row r="141">
      <x:c r="A141" s="54" t="str">
        <x:v>PRT-0056</x:v>
      </x:c>
      <x:c r="B141" s="54" t="str">
        <x:v>Boarding Cutlass</x:v>
      </x:c>
      <x:c r="C141" s="54" t="str">
        <x:v>ARMORER</x:v>
      </x:c>
      <x:c r="D141" s="67" t="str">
        <x:v>020171801381</x:v>
      </x:c>
      <x:c r="E141" s="54" t="b">
        <x:f>COUNTIF('BOM'!$A$4:$A$531,A141)&gt;0</x:f>
        <x:v>0</x:v>
      </x:c>
      <x:c r="F141" s="54" t="b">
        <x:f>COUNTIF('BOM'!$B$4:$B$531,A141)&gt;0</x:f>
        <x:v>1</x:v>
      </x:c>
      <x:c r="G141" s="54" t="str">
        <x:f>IF(COUNTIF($A$4:$A$431,A141)=1,"OK","DUPLICATE SKU")</x:f>
        <x:v>OK</x:v>
      </x:c>
      <x:c r="H141"/>
    </x:row>
    <x:row r="142">
      <x:c r="A142" s="54" t="str">
        <x:v>PRT-0057</x:v>
      </x:c>
      <x:c r="B142" s="54" t="str">
        <x:v>Boarding Axe</x:v>
      </x:c>
      <x:c r="C142" s="54" t="str">
        <x:v>ARMORER</x:v>
      </x:c>
      <x:c r="D142" s="67" t="str">
        <x:v>020171801398</x:v>
      </x:c>
      <x:c r="E142" s="54" t="b">
        <x:f>COUNTIF('BOM'!$A$4:$A$531,A142)&gt;0</x:f>
        <x:v>0</x:v>
      </x:c>
      <x:c r="F142" s="54" t="b">
        <x:f>COUNTIF('BOM'!$B$4:$B$531,A142)&gt;0</x:f>
        <x:v>1</x:v>
      </x:c>
      <x:c r="G142" s="54" t="str">
        <x:f>IF(COUNTIF($A$4:$A$431,A142)=1,"OK","DUPLICATE SKU")</x:f>
        <x:v>OK</x:v>
      </x:c>
      <x:c r="H142"/>
    </x:row>
    <x:row r="143">
      <x:c r="A143" s="54" t="str">
        <x:v>PRT-0058</x:v>
      </x:c>
      <x:c r="B143" s="54" t="str">
        <x:v>Boarding Pike</x:v>
      </x:c>
      <x:c r="C143" s="54" t="str">
        <x:v>ARMORER</x:v>
      </x:c>
      <x:c r="D143" s="67" t="str">
        <x:v>020171801404</x:v>
      </x:c>
      <x:c r="E143" s="54" t="b">
        <x:f>COUNTIF('BOM'!$A$4:$A$531,A143)&gt;0</x:f>
        <x:v>0</x:v>
      </x:c>
      <x:c r="F143" s="54" t="b">
        <x:f>COUNTIF('BOM'!$B$4:$B$531,A143)&gt;0</x:f>
        <x:v>1</x:v>
      </x:c>
      <x:c r="G143" s="54" t="str">
        <x:f>IF(COUNTIF($A$4:$A$431,A143)=1,"OK","DUPLICATE SKU")</x:f>
        <x:v>OK</x:v>
      </x:c>
      <x:c r="H143"/>
    </x:row>
    <x:row r="144">
      <x:c r="A144" s="54" t="str">
        <x:v>ASM-0019</x:v>
      </x:c>
      <x:c r="B144" s="54" t="str">
        <x:v>Cast-Iron Hand Grenade</x:v>
      </x:c>
      <x:c r="C144" s="54" t="str">
        <x:v>MAGAZINE</x:v>
      </x:c>
      <x:c r="D144" s="67" t="str">
        <x:v>020171801411</x:v>
      </x:c>
      <x:c r="E144" s="54" t="b">
        <x:f>COUNTIF('BOM'!$A$4:$A$531,A144)&gt;0</x:f>
        <x:v>0</x:v>
      </x:c>
      <x:c r="F144" s="54" t="b">
        <x:f>COUNTIF('BOM'!$B$4:$B$531,A144)&gt;0</x:f>
        <x:v>1</x:v>
      </x:c>
      <x:c r="G144" s="54" t="str">
        <x:f>IF(COUNTIF($A$4:$A$431,A144)=1,"OK","DUPLICATE SKU")</x:f>
        <x:v>OK</x:v>
      </x:c>
      <x:c r="H144"/>
    </x:row>
    <x:row r="145">
      <x:c r="A145" s="54" t="str">
        <x:v>PRT-0059</x:v>
      </x:c>
      <x:c r="B145" s="54" t="str">
        <x:v>Flintlock Musket</x:v>
      </x:c>
      <x:c r="C145" s="54" t="str">
        <x:v>ARMORER</x:v>
      </x:c>
      <x:c r="D145" s="67" t="str">
        <x:v>020171801428</x:v>
      </x:c>
      <x:c r="E145" s="54" t="b">
        <x:f>COUNTIF('BOM'!$A$4:$A$531,A145)&gt;0</x:f>
        <x:v>0</x:v>
      </x:c>
      <x:c r="F145" s="54" t="b">
        <x:f>COUNTIF('BOM'!$B$4:$B$531,A145)&gt;0</x:f>
        <x:v>1</x:v>
      </x:c>
      <x:c r="G145" s="54" t="str">
        <x:f>IF(COUNTIF($A$4:$A$431,A145)=1,"OK","DUPLICATE SKU")</x:f>
        <x:v>OK</x:v>
      </x:c>
      <x:c r="H145"/>
    </x:row>
    <x:row r="146">
      <x:c r="A146" s="54" t="str">
        <x:v>PRT-0060</x:v>
      </x:c>
      <x:c r="B146" s="54" t="str">
        <x:v>Flintlock Pistol</x:v>
      </x:c>
      <x:c r="C146" s="54" t="str">
        <x:v>ARMORER</x:v>
      </x:c>
      <x:c r="D146" s="67" t="str">
        <x:v>020171801435</x:v>
      </x:c>
      <x:c r="E146" s="54" t="b">
        <x:f>COUNTIF('BOM'!$A$4:$A$531,A146)&gt;0</x:f>
        <x:v>0</x:v>
      </x:c>
      <x:c r="F146" s="54" t="b">
        <x:f>COUNTIF('BOM'!$B$4:$B$531,A146)&gt;0</x:f>
        <x:v>1</x:v>
      </x:c>
      <x:c r="G146" s="54" t="str">
        <x:f>IF(COUNTIF($A$4:$A$431,A146)=1,"OK","DUPLICATE SKU")</x:f>
        <x:v>OK</x:v>
      </x:c>
      <x:c r="H146"/>
    </x:row>
    <x:row r="147">
      <x:c r="A147" s="54" t="str">
        <x:v>MAT-0007</x:v>
      </x:c>
      <x:c r="B147" s="54" t="str">
        <x:v>Gunflint</x:v>
      </x:c>
      <x:c r="C147" s="54" t="str">
        <x:v>ARMORER</x:v>
      </x:c>
      <x:c r="D147" s="67" t="str">
        <x:v>020171801442</x:v>
      </x:c>
      <x:c r="E147" s="54" t="b">
        <x:f>COUNTIF('BOM'!$A$4:$A$531,A147)&gt;0</x:f>
        <x:v>0</x:v>
      </x:c>
      <x:c r="F147" s="54" t="b">
        <x:f>COUNTIF('BOM'!$B$4:$B$531,A147)&gt;0</x:f>
        <x:v>1</x:v>
      </x:c>
      <x:c r="G147" s="54" t="str">
        <x:f>IF(COUNTIF($A$4:$A$431,A147)=1,"OK","DUPLICATE SKU")</x:f>
        <x:v>OK</x:v>
      </x:c>
      <x:c r="H147"/>
    </x:row>
    <x:row r="148">
      <x:c r="A148" s="54" t="str">
        <x:v>MAT-0008</x:v>
      </x:c>
      <x:c r="B148" s="54" t="str">
        <x:v>Musket Ball</x:v>
      </x:c>
      <x:c r="C148" s="54" t="str">
        <x:v>MAGAZINE</x:v>
      </x:c>
      <x:c r="D148" s="67" t="str">
        <x:v>020171801459</x:v>
      </x:c>
      <x:c r="E148" s="54" t="b">
        <x:f>COUNTIF('BOM'!$A$4:$A$531,A148)&gt;0</x:f>
        <x:v>0</x:v>
      </x:c>
      <x:c r="F148" s="54" t="b">
        <x:f>COUNTIF('BOM'!$B$4:$B$531,A148)&gt;0</x:f>
        <x:v>1</x:v>
      </x:c>
      <x:c r="G148" s="54" t="str">
        <x:f>IF(COUNTIF($A$4:$A$431,A148)=1,"OK","DUPLICATE SKU")</x:f>
        <x:v>OK</x:v>
      </x:c>
      <x:c r="H148"/>
    </x:row>
    <x:row r="149">
      <x:c r="A149" s="54" t="str">
        <x:v>MAT-0009</x:v>
      </x:c>
      <x:c r="B149" s="54" t="str">
        <x:v>Pistol Ball</x:v>
      </x:c>
      <x:c r="C149" s="54" t="str">
        <x:v>MAGAZINE</x:v>
      </x:c>
      <x:c r="D149" s="67" t="str">
        <x:v>020171801466</x:v>
      </x:c>
      <x:c r="E149" s="54" t="b">
        <x:f>COUNTIF('BOM'!$A$4:$A$531,A149)&gt;0</x:f>
        <x:v>0</x:v>
      </x:c>
      <x:c r="F149" s="54" t="b">
        <x:f>COUNTIF('BOM'!$B$4:$B$531,A149)&gt;0</x:f>
        <x:v>1</x:v>
      </x:c>
      <x:c r="G149" s="54" t="str">
        <x:f>IF(COUNTIF($A$4:$A$431,A149)=1,"OK","DUPLICATE SKU")</x:f>
        <x:v>OK</x:v>
      </x:c>
      <x:c r="H149"/>
    </x:row>
    <x:row r="150">
      <x:c r="A150" s="54" t="str">
        <x:v>PKG-0004</x:v>
      </x:c>
      <x:c r="B150" s="54" t="str">
        <x:v>Leather Cartridge Box</x:v>
      </x:c>
      <x:c r="C150" s="54" t="str">
        <x:v>LEATHER</x:v>
      </x:c>
      <x:c r="D150" s="67" t="str">
        <x:v>020171801473</x:v>
      </x:c>
      <x:c r="E150" s="54" t="b">
        <x:f>COUNTIF('BOM'!$A$4:$A$531,A150)&gt;0</x:f>
        <x:v>0</x:v>
      </x:c>
      <x:c r="F150" s="54" t="b">
        <x:f>COUNTIF('BOM'!$B$4:$B$531,A150)&gt;0</x:f>
        <x:v>1</x:v>
      </x:c>
      <x:c r="G150" s="54" t="str">
        <x:f>IF(COUNTIF($A$4:$A$431,A150)=1,"OK","DUPLICATE SKU")</x:f>
        <x:v>OK</x:v>
      </x:c>
      <x:c r="H150"/>
    </x:row>
    <x:row r="151">
      <x:c r="A151" s="54" t="str">
        <x:v>PRT-0061</x:v>
      </x:c>
      <x:c r="B151" s="54" t="str">
        <x:v>Personal Firearm Cleaning Tool</x:v>
      </x:c>
      <x:c r="C151" s="54" t="str">
        <x:v>ARMORER</x:v>
      </x:c>
      <x:c r="D151" s="67" t="str">
        <x:v>020171801480</x:v>
      </x:c>
      <x:c r="E151" s="54" t="b">
        <x:f>COUNTIF('BOM'!$A$4:$A$531,A151)&gt;0</x:f>
        <x:v>0</x:v>
      </x:c>
      <x:c r="F151" s="54" t="b">
        <x:f>COUNTIF('BOM'!$B$4:$B$531,A151)&gt;0</x:f>
        <x:v>1</x:v>
      </x:c>
      <x:c r="G151" s="54" t="str">
        <x:f>IF(COUNTIF($A$4:$A$431,A151)=1,"OK","DUPLICATE SKU")</x:f>
        <x:v>OK</x:v>
      </x:c>
      <x:c r="H151"/>
    </x:row>
    <x:row r="152">
      <x:c r="A152" s="54" t="str">
        <x:v>PRT-0062</x:v>
      </x:c>
      <x:c r="B152" s="54" t="str">
        <x:v>Lead Bullet Mold</x:v>
      </x:c>
      <x:c r="C152" s="54" t="str">
        <x:v>ARMORER</x:v>
      </x:c>
      <x:c r="D152" s="67" t="str">
        <x:v>020171801497</x:v>
      </x:c>
      <x:c r="E152" s="54" t="b">
        <x:f>COUNTIF('BOM'!$A$4:$A$531,A152)&gt;0</x:f>
        <x:v>0</x:v>
      </x:c>
      <x:c r="F152" s="54" t="b">
        <x:f>COUNTIF('BOM'!$B$4:$B$531,A152)&gt;0</x:f>
        <x:v>1</x:v>
      </x:c>
      <x:c r="G152" s="54" t="str">
        <x:f>IF(COUNTIF($A$4:$A$431,A152)=1,"OK","DUPLICATE SKU")</x:f>
        <x:v>OK</x:v>
      </x:c>
      <x:c r="H152"/>
    </x:row>
    <x:row r="153">
      <x:c r="A153" s="54" t="str">
        <x:v>QAR-0025</x:v>
      </x:c>
      <x:c r="B153" s="54" t="str">
        <x:v>Mast and Spar Outfit</x:v>
      </x:c>
      <x:c r="C153" s="54" t="str">
        <x:v>SHIPWRIGHT</x:v>
      </x:c>
      <x:c r="D153" s="67" t="str">
        <x:v>020171801503</x:v>
      </x:c>
      <x:c r="E153" s="54" t="b">
        <x:f>COUNTIF('BOM'!$A$4:$A$531,A153)&gt;0</x:f>
        <x:v>1</x:v>
      </x:c>
      <x:c r="F153" s="54" t="b">
        <x:f>COUNTIF('BOM'!$B$4:$B$531,A153)&gt;0</x:f>
        <x:v>1</x:v>
      </x:c>
      <x:c r="G153" s="54" t="str">
        <x:f>IF(COUNTIF($A$4:$A$431,A153)=1,"OK","DUPLICATE SKU")</x:f>
        <x:v>OK</x:v>
      </x:c>
      <x:c r="H153"/>
    </x:row>
    <x:row r="154">
      <x:c r="A154" s="54" t="str">
        <x:v>OFT-0009</x:v>
      </x:c>
      <x:c r="B154" s="54" t="str">
        <x:v>Standing Rigging Outfit</x:v>
      </x:c>
      <x:c r="C154" s="54" t="str">
        <x:v>ROPEWALK</x:v>
      </x:c>
      <x:c r="D154" s="67" t="str">
        <x:v>020171801510</x:v>
      </x:c>
      <x:c r="E154" s="54" t="b">
        <x:f>COUNTIF('BOM'!$A$4:$A$531,A154)&gt;0</x:f>
        <x:v>1</x:v>
      </x:c>
      <x:c r="F154" s="54" t="b">
        <x:f>COUNTIF('BOM'!$B$4:$B$531,A154)&gt;0</x:f>
        <x:v>1</x:v>
      </x:c>
      <x:c r="G154" s="54" t="str">
        <x:f>IF(COUNTIF($A$4:$A$431,A154)=1,"OK","DUPLICATE SKU")</x:f>
        <x:v>OK</x:v>
      </x:c>
      <x:c r="H154"/>
    </x:row>
    <x:row r="155">
      <x:c r="A155" s="54" t="str">
        <x:v>OFT-0010</x:v>
      </x:c>
      <x:c r="B155" s="54" t="str">
        <x:v>Running Rigging Outfit</x:v>
      </x:c>
      <x:c r="C155" s="54" t="str">
        <x:v>ROPEWALK</x:v>
      </x:c>
      <x:c r="D155" s="67" t="str">
        <x:v>020171801527</x:v>
      </x:c>
      <x:c r="E155" s="54" t="b">
        <x:f>COUNTIF('BOM'!$A$4:$A$531,A155)&gt;0</x:f>
        <x:v>1</x:v>
      </x:c>
      <x:c r="F155" s="54" t="b">
        <x:f>COUNTIF('BOM'!$B$4:$B$531,A155)&gt;0</x:f>
        <x:v>1</x:v>
      </x:c>
      <x:c r="G155" s="54" t="str">
        <x:f>IF(COUNTIF($A$4:$A$431,A155)=1,"OK","DUPLICATE SKU")</x:f>
        <x:v>OK</x:v>
      </x:c>
      <x:c r="H155"/>
    </x:row>
    <x:row r="156">
      <x:c r="A156" s="54" t="str">
        <x:v>QAR-0026</x:v>
      </x:c>
      <x:c r="B156" s="54" t="str">
        <x:v>Complete Sail Inventory</x:v>
      </x:c>
      <x:c r="C156" s="54" t="str">
        <x:v>SAILLOFT</x:v>
      </x:c>
      <x:c r="D156" s="67" t="str">
        <x:v>020171801534</x:v>
      </x:c>
      <x:c r="E156" s="54" t="b">
        <x:f>COUNTIF('BOM'!$A$4:$A$531,A156)&gt;0</x:f>
        <x:v>1</x:v>
      </x:c>
      <x:c r="F156" s="54" t="b">
        <x:f>COUNTIF('BOM'!$B$4:$B$531,A156)&gt;0</x:f>
        <x:v>1</x:v>
      </x:c>
      <x:c r="G156" s="54" t="str">
        <x:f>IF(COUNTIF($A$4:$A$431,A156)=1,"OK","DUPLICATE SKU")</x:f>
        <x:v>OK</x:v>
      </x:c>
      <x:c r="H156"/>
    </x:row>
    <x:row r="157">
      <x:c r="A157" s="54" t="str">
        <x:v>OFT-0011</x:v>
      </x:c>
      <x:c r="B157" s="54" t="str">
        <x:v>Blocks, Deadeyes and Rigging Hardware</x:v>
      </x:c>
      <x:c r="C157" s="54" t="str">
        <x:v>BLOCKSHOP</x:v>
      </x:c>
      <x:c r="D157" s="67" t="str">
        <x:v>020171801541</x:v>
      </x:c>
      <x:c r="E157" s="54" t="b">
        <x:f>COUNTIF('BOM'!$A$4:$A$531,A157)&gt;0</x:f>
        <x:v>1</x:v>
      </x:c>
      <x:c r="F157" s="54" t="b">
        <x:f>COUNTIF('BOM'!$B$4:$B$531,A157)&gt;0</x:f>
        <x:v>1</x:v>
      </x:c>
      <x:c r="G157" s="54" t="str">
        <x:f>IF(COUNTIF($A$4:$A$431,A157)=1,"OK","DUPLICATE SKU")</x:f>
        <x:v>OK</x:v>
      </x:c>
      <x:c r="H157"/>
    </x:row>
    <x:row r="158">
      <x:c r="A158" s="54" t="str">
        <x:v>QAR-0027</x:v>
      </x:c>
      <x:c r="B158" s="54" t="str">
        <x:v>Main Mast Assembly</x:v>
      </x:c>
      <x:c r="C158" s="54" t="str">
        <x:v>SHIPWRIGHT</x:v>
      </x:c>
      <x:c r="D158" s="67" t="str">
        <x:v>020171801558</x:v>
      </x:c>
      <x:c r="E158" s="54" t="b">
        <x:f>COUNTIF('BOM'!$A$4:$A$531,A158)&gt;0</x:f>
        <x:v>0</x:v>
      </x:c>
      <x:c r="F158" s="54" t="b">
        <x:f>COUNTIF('BOM'!$B$4:$B$531,A158)&gt;0</x:f>
        <x:v>1</x:v>
      </x:c>
      <x:c r="G158" s="54" t="str">
        <x:f>IF(COUNTIF($A$4:$A$431,A158)=1,"OK","DUPLICATE SKU")</x:f>
        <x:v>OK</x:v>
      </x:c>
      <x:c r="H158"/>
    </x:row>
    <x:row r="159">
      <x:c r="A159" s="54" t="str">
        <x:v>QAR-0028</x:v>
      </x:c>
      <x:c r="B159" s="54" t="str">
        <x:v>Fore Mast Assembly</x:v>
      </x:c>
      <x:c r="C159" s="54" t="str">
        <x:v>SHIPWRIGHT</x:v>
      </x:c>
      <x:c r="D159" s="67" t="str">
        <x:v>020171801565</x:v>
      </x:c>
      <x:c r="E159" s="54" t="b">
        <x:f>COUNTIF('BOM'!$A$4:$A$531,A159)&gt;0</x:f>
        <x:v>0</x:v>
      </x:c>
      <x:c r="F159" s="54" t="b">
        <x:f>COUNTIF('BOM'!$B$4:$B$531,A159)&gt;0</x:f>
        <x:v>1</x:v>
      </x:c>
      <x:c r="G159" s="54" t="str">
        <x:f>IF(COUNTIF($A$4:$A$431,A159)=1,"OK","DUPLICATE SKU")</x:f>
        <x:v>OK</x:v>
      </x:c>
      <x:c r="H159"/>
    </x:row>
    <x:row r="160">
      <x:c r="A160" s="54" t="str">
        <x:v>QAR-0029</x:v>
      </x:c>
      <x:c r="B160" s="54" t="str">
        <x:v>Mizzen Mast Assembly</x:v>
      </x:c>
      <x:c r="C160" s="54" t="str">
        <x:v>SHIPWRIGHT</x:v>
      </x:c>
      <x:c r="D160" s="67" t="str">
        <x:v>020171801572</x:v>
      </x:c>
      <x:c r="E160" s="54" t="b">
        <x:f>COUNTIF('BOM'!$A$4:$A$531,A160)&gt;0</x:f>
        <x:v>0</x:v>
      </x:c>
      <x:c r="F160" s="54" t="b">
        <x:f>COUNTIF('BOM'!$B$4:$B$531,A160)&gt;0</x:f>
        <x:v>1</x:v>
      </x:c>
      <x:c r="G160" s="54" t="str">
        <x:f>IF(COUNTIF($A$4:$A$431,A160)=1,"OK","DUPLICATE SKU")</x:f>
        <x:v>OK</x:v>
      </x:c>
      <x:c r="H160"/>
    </x:row>
    <x:row r="161">
      <x:c r="A161" s="54" t="str">
        <x:v>QAR-0030</x:v>
      </x:c>
      <x:c r="B161" s="54" t="str">
        <x:v>Bowsprit Assembly</x:v>
      </x:c>
      <x:c r="C161" s="54" t="str">
        <x:v>SHIPWRIGHT</x:v>
      </x:c>
      <x:c r="D161" s="67" t="str">
        <x:v>020171801589</x:v>
      </x:c>
      <x:c r="E161" s="54" t="b">
        <x:f>COUNTIF('BOM'!$A$4:$A$531,A161)&gt;0</x:f>
        <x:v>0</x:v>
      </x:c>
      <x:c r="F161" s="54" t="b">
        <x:f>COUNTIF('BOM'!$B$4:$B$531,A161)&gt;0</x:f>
        <x:v>1</x:v>
      </x:c>
      <x:c r="G161" s="54" t="str">
        <x:f>IF(COUNTIF($A$4:$A$431,A161)=1,"OK","DUPLICATE SKU")</x:f>
        <x:v>OK</x:v>
      </x:c>
      <x:c r="H161"/>
    </x:row>
    <x:row r="162">
      <x:c r="A162" s="54" t="str">
        <x:v>QAR-0031</x:v>
      </x:c>
      <x:c r="B162" s="54" t="str">
        <x:v>Main Yard</x:v>
      </x:c>
      <x:c r="C162" s="54" t="str">
        <x:v>SHIPWRIGHT</x:v>
      </x:c>
      <x:c r="D162" s="67" t="str">
        <x:v>020171801596</x:v>
      </x:c>
      <x:c r="E162" s="54" t="b">
        <x:f>COUNTIF('BOM'!$A$4:$A$531,A162)&gt;0</x:f>
        <x:v>0</x:v>
      </x:c>
      <x:c r="F162" s="54" t="b">
        <x:f>COUNTIF('BOM'!$B$4:$B$531,A162)&gt;0</x:f>
        <x:v>1</x:v>
      </x:c>
      <x:c r="G162" s="54" t="str">
        <x:f>IF(COUNTIF($A$4:$A$431,A162)=1,"OK","DUPLICATE SKU")</x:f>
        <x:v>OK</x:v>
      </x:c>
      <x:c r="H162"/>
    </x:row>
    <x:row r="163">
      <x:c r="A163" s="54" t="str">
        <x:v>QAR-0032</x:v>
      </x:c>
      <x:c r="B163" s="54" t="str">
        <x:v>Main Topsail Yard</x:v>
      </x:c>
      <x:c r="C163" s="54" t="str">
        <x:v>SHIPWRIGHT</x:v>
      </x:c>
      <x:c r="D163" s="67" t="str">
        <x:v>020171801602</x:v>
      </x:c>
      <x:c r="E163" s="54" t="b">
        <x:f>COUNTIF('BOM'!$A$4:$A$531,A163)&gt;0</x:f>
        <x:v>0</x:v>
      </x:c>
      <x:c r="F163" s="54" t="b">
        <x:f>COUNTIF('BOM'!$B$4:$B$531,A163)&gt;0</x:f>
        <x:v>1</x:v>
      </x:c>
      <x:c r="G163" s="54" t="str">
        <x:f>IF(COUNTIF($A$4:$A$431,A163)=1,"OK","DUPLICATE SKU")</x:f>
        <x:v>OK</x:v>
      </x:c>
      <x:c r="H163"/>
    </x:row>
    <x:row r="164">
      <x:c r="A164" s="54" t="str">
        <x:v>QAR-0033</x:v>
      </x:c>
      <x:c r="B164" s="54" t="str">
        <x:v>Main Topgallant Yard</x:v>
      </x:c>
      <x:c r="C164" s="54" t="str">
        <x:v>SHIPWRIGHT</x:v>
      </x:c>
      <x:c r="D164" s="67" t="str">
        <x:v>020171801619</x:v>
      </x:c>
      <x:c r="E164" s="54" t="b">
        <x:f>COUNTIF('BOM'!$A$4:$A$531,A164)&gt;0</x:f>
        <x:v>0</x:v>
      </x:c>
      <x:c r="F164" s="54" t="b">
        <x:f>COUNTIF('BOM'!$B$4:$B$531,A164)&gt;0</x:f>
        <x:v>1</x:v>
      </x:c>
      <x:c r="G164" s="54" t="str">
        <x:f>IF(COUNTIF($A$4:$A$431,A164)=1,"OK","DUPLICATE SKU")</x:f>
        <x:v>OK</x:v>
      </x:c>
      <x:c r="H164"/>
    </x:row>
    <x:row r="165">
      <x:c r="A165" s="54" t="str">
        <x:v>QAR-0034</x:v>
      </x:c>
      <x:c r="B165" s="54" t="str">
        <x:v>Fore Yard</x:v>
      </x:c>
      <x:c r="C165" s="54" t="str">
        <x:v>SHIPWRIGHT</x:v>
      </x:c>
      <x:c r="D165" s="67" t="str">
        <x:v>020171801626</x:v>
      </x:c>
      <x:c r="E165" s="54" t="b">
        <x:f>COUNTIF('BOM'!$A$4:$A$531,A165)&gt;0</x:f>
        <x:v>0</x:v>
      </x:c>
      <x:c r="F165" s="54" t="b">
        <x:f>COUNTIF('BOM'!$B$4:$B$531,A165)&gt;0</x:f>
        <x:v>1</x:v>
      </x:c>
      <x:c r="G165" s="54" t="str">
        <x:f>IF(COUNTIF($A$4:$A$431,A165)=1,"OK","DUPLICATE SKU")</x:f>
        <x:v>OK</x:v>
      </x:c>
      <x:c r="H165"/>
    </x:row>
    <x:row r="166">
      <x:c r="A166" s="54" t="str">
        <x:v>QAR-0035</x:v>
      </x:c>
      <x:c r="B166" s="54" t="str">
        <x:v>Fore Topsail Yard</x:v>
      </x:c>
      <x:c r="C166" s="54" t="str">
        <x:v>SHIPWRIGHT</x:v>
      </x:c>
      <x:c r="D166" s="67" t="str">
        <x:v>020171801633</x:v>
      </x:c>
      <x:c r="E166" s="54" t="b">
        <x:f>COUNTIF('BOM'!$A$4:$A$531,A166)&gt;0</x:f>
        <x:v>0</x:v>
      </x:c>
      <x:c r="F166" s="54" t="b">
        <x:f>COUNTIF('BOM'!$B$4:$B$531,A166)&gt;0</x:f>
        <x:v>1</x:v>
      </x:c>
      <x:c r="G166" s="54" t="str">
        <x:f>IF(COUNTIF($A$4:$A$431,A166)=1,"OK","DUPLICATE SKU")</x:f>
        <x:v>OK</x:v>
      </x:c>
      <x:c r="H166"/>
    </x:row>
    <x:row r="167">
      <x:c r="A167" s="54" t="str">
        <x:v>QAR-0036</x:v>
      </x:c>
      <x:c r="B167" s="54" t="str">
        <x:v>Fore Topgallant Yard</x:v>
      </x:c>
      <x:c r="C167" s="54" t="str">
        <x:v>SHIPWRIGHT</x:v>
      </x:c>
      <x:c r="D167" s="67" t="str">
        <x:v>020171801640</x:v>
      </x:c>
      <x:c r="E167" s="54" t="b">
        <x:f>COUNTIF('BOM'!$A$4:$A$531,A167)&gt;0</x:f>
        <x:v>0</x:v>
      </x:c>
      <x:c r="F167" s="54" t="b">
        <x:f>COUNTIF('BOM'!$B$4:$B$531,A167)&gt;0</x:f>
        <x:v>1</x:v>
      </x:c>
      <x:c r="G167" s="54" t="str">
        <x:f>IF(COUNTIF($A$4:$A$431,A167)=1,"OK","DUPLICATE SKU")</x:f>
        <x:v>OK</x:v>
      </x:c>
      <x:c r="H167"/>
    </x:row>
    <x:row r="168">
      <x:c r="A168" s="54" t="str">
        <x:v>QAR-0037</x:v>
      </x:c>
      <x:c r="B168" s="54" t="str">
        <x:v>Mizzen Yard</x:v>
      </x:c>
      <x:c r="C168" s="54" t="str">
        <x:v>SHIPWRIGHT</x:v>
      </x:c>
      <x:c r="D168" s="67" t="str">
        <x:v>020171801657</x:v>
      </x:c>
      <x:c r="E168" s="54" t="b">
        <x:f>COUNTIF('BOM'!$A$4:$A$531,A168)&gt;0</x:f>
        <x:v>0</x:v>
      </x:c>
      <x:c r="F168" s="54" t="b">
        <x:f>COUNTIF('BOM'!$B$4:$B$531,A168)&gt;0</x:f>
        <x:v>1</x:v>
      </x:c>
      <x:c r="G168" s="54" t="str">
        <x:f>IF(COUNTIF($A$4:$A$431,A168)=1,"OK","DUPLICATE SKU")</x:f>
        <x:v>OK</x:v>
      </x:c>
      <x:c r="H168"/>
    </x:row>
    <x:row r="169">
      <x:c r="A169" s="54" t="str">
        <x:v>QAR-0038</x:v>
      </x:c>
      <x:c r="B169" s="54" t="str">
        <x:v>Spritsail Yard</x:v>
      </x:c>
      <x:c r="C169" s="54" t="str">
        <x:v>SHIPWRIGHT</x:v>
      </x:c>
      <x:c r="D169" s="67" t="str">
        <x:v>020171801664</x:v>
      </x:c>
      <x:c r="E169" s="54" t="b">
        <x:f>COUNTIF('BOM'!$A$4:$A$531,A169)&gt;0</x:f>
        <x:v>0</x:v>
      </x:c>
      <x:c r="F169" s="54" t="b">
        <x:f>COUNTIF('BOM'!$B$4:$B$531,A169)&gt;0</x:f>
        <x:v>1</x:v>
      </x:c>
      <x:c r="G169" s="54" t="str">
        <x:f>IF(COUNTIF($A$4:$A$431,A169)=1,"OK","DUPLICATE SKU")</x:f>
        <x:v>OK</x:v>
      </x:c>
      <x:c r="H169"/>
    </x:row>
    <x:row r="170">
      <x:c r="A170" s="54" t="str">
        <x:v>ASM-0020</x:v>
      </x:c>
      <x:c r="B170" s="54" t="str">
        <x:v>Main Shroud Pair</x:v>
      </x:c>
      <x:c r="C170" s="54" t="str">
        <x:v>ROPEWALK</x:v>
      </x:c>
      <x:c r="D170" s="67" t="str">
        <x:v>020171801671</x:v>
      </x:c>
      <x:c r="E170" s="54" t="b">
        <x:f>COUNTIF('BOM'!$A$4:$A$531,A170)&gt;0</x:f>
        <x:v>0</x:v>
      </x:c>
      <x:c r="F170" s="54" t="b">
        <x:f>COUNTIF('BOM'!$B$4:$B$531,A170)&gt;0</x:f>
        <x:v>1</x:v>
      </x:c>
      <x:c r="G170" s="54" t="str">
        <x:f>IF(COUNTIF($A$4:$A$431,A170)=1,"OK","DUPLICATE SKU")</x:f>
        <x:v>OK</x:v>
      </x:c>
      <x:c r="H170"/>
    </x:row>
    <x:row r="171">
      <x:c r="A171" s="54" t="str">
        <x:v>ASM-0021</x:v>
      </x:c>
      <x:c r="B171" s="54" t="str">
        <x:v>Fore Shroud Pair</x:v>
      </x:c>
      <x:c r="C171" s="54" t="str">
        <x:v>ROPEWALK</x:v>
      </x:c>
      <x:c r="D171" s="67" t="str">
        <x:v>020171801688</x:v>
      </x:c>
      <x:c r="E171" s="54" t="b">
        <x:f>COUNTIF('BOM'!$A$4:$A$531,A171)&gt;0</x:f>
        <x:v>0</x:v>
      </x:c>
      <x:c r="F171" s="54" t="b">
        <x:f>COUNTIF('BOM'!$B$4:$B$531,A171)&gt;0</x:f>
        <x:v>1</x:v>
      </x:c>
      <x:c r="G171" s="54" t="str">
        <x:f>IF(COUNTIF($A$4:$A$431,A171)=1,"OK","DUPLICATE SKU")</x:f>
        <x:v>OK</x:v>
      </x:c>
      <x:c r="H171"/>
    </x:row>
    <x:row r="172">
      <x:c r="A172" s="54" t="str">
        <x:v>ASM-0022</x:v>
      </x:c>
      <x:c r="B172" s="54" t="str">
        <x:v>Mizzen Shroud Pair</x:v>
      </x:c>
      <x:c r="C172" s="54" t="str">
        <x:v>ROPEWALK</x:v>
      </x:c>
      <x:c r="D172" s="67" t="str">
        <x:v>020171801695</x:v>
      </x:c>
      <x:c r="E172" s="54" t="b">
        <x:f>COUNTIF('BOM'!$A$4:$A$531,A172)&gt;0</x:f>
        <x:v>0</x:v>
      </x:c>
      <x:c r="F172" s="54" t="b">
        <x:f>COUNTIF('BOM'!$B$4:$B$531,A172)&gt;0</x:f>
        <x:v>1</x:v>
      </x:c>
      <x:c r="G172" s="54" t="str">
        <x:f>IF(COUNTIF($A$4:$A$431,A172)=1,"OK","DUPLICATE SKU")</x:f>
        <x:v>OK</x:v>
      </x:c>
      <x:c r="H172"/>
    </x:row>
    <x:row r="173">
      <x:c r="A173" s="54" t="str">
        <x:v>PRT-0063</x:v>
      </x:c>
      <x:c r="B173" s="54" t="str">
        <x:v>Main Stay</x:v>
      </x:c>
      <x:c r="C173" s="54" t="str">
        <x:v>ROPEWALK</x:v>
      </x:c>
      <x:c r="D173" s="67" t="str">
        <x:v>020171801701</x:v>
      </x:c>
      <x:c r="E173" s="54" t="b">
        <x:f>COUNTIF('BOM'!$A$4:$A$531,A173)&gt;0</x:f>
        <x:v>0</x:v>
      </x:c>
      <x:c r="F173" s="54" t="b">
        <x:f>COUNTIF('BOM'!$B$4:$B$531,A173)&gt;0</x:f>
        <x:v>1</x:v>
      </x:c>
      <x:c r="G173" s="54" t="str">
        <x:f>IF(COUNTIF($A$4:$A$431,A173)=1,"OK","DUPLICATE SKU")</x:f>
        <x:v>OK</x:v>
      </x:c>
      <x:c r="H173"/>
    </x:row>
    <x:row r="174">
      <x:c r="A174" s="54" t="str">
        <x:v>PRT-0064</x:v>
      </x:c>
      <x:c r="B174" s="54" t="str">
        <x:v>Fore Stay</x:v>
      </x:c>
      <x:c r="C174" s="54" t="str">
        <x:v>ROPEWALK</x:v>
      </x:c>
      <x:c r="D174" s="67" t="str">
        <x:v>020171801718</x:v>
      </x:c>
      <x:c r="E174" s="54" t="b">
        <x:f>COUNTIF('BOM'!$A$4:$A$531,A174)&gt;0</x:f>
        <x:v>0</x:v>
      </x:c>
      <x:c r="F174" s="54" t="b">
        <x:f>COUNTIF('BOM'!$B$4:$B$531,A174)&gt;0</x:f>
        <x:v>1</x:v>
      </x:c>
      <x:c r="G174" s="54" t="str">
        <x:f>IF(COUNTIF($A$4:$A$431,A174)=1,"OK","DUPLICATE SKU")</x:f>
        <x:v>OK</x:v>
      </x:c>
      <x:c r="H174"/>
    </x:row>
    <x:row r="175">
      <x:c r="A175" s="54" t="str">
        <x:v>PRT-0065</x:v>
      </x:c>
      <x:c r="B175" s="54" t="str">
        <x:v>Mizzen Stay</x:v>
      </x:c>
      <x:c r="C175" s="54" t="str">
        <x:v>ROPEWALK</x:v>
      </x:c>
      <x:c r="D175" s="67" t="str">
        <x:v>020171801725</x:v>
      </x:c>
      <x:c r="E175" s="54" t="b">
        <x:f>COUNTIF('BOM'!$A$4:$A$531,A175)&gt;0</x:f>
        <x:v>0</x:v>
      </x:c>
      <x:c r="F175" s="54" t="b">
        <x:f>COUNTIF('BOM'!$B$4:$B$531,A175)&gt;0</x:f>
        <x:v>1</x:v>
      </x:c>
      <x:c r="G175" s="54" t="str">
        <x:f>IF(COUNTIF($A$4:$A$431,A175)=1,"OK","DUPLICATE SKU")</x:f>
        <x:v>OK</x:v>
      </x:c>
      <x:c r="H175"/>
    </x:row>
    <x:row r="176">
      <x:c r="A176" s="54" t="str">
        <x:v>PRT-0066</x:v>
      </x:c>
      <x:c r="B176" s="54" t="str">
        <x:v>Running Backstay</x:v>
      </x:c>
      <x:c r="C176" s="54" t="str">
        <x:v>ROPEWALK</x:v>
      </x:c>
      <x:c r="D176" s="67" t="str">
        <x:v>020171801732</x:v>
      </x:c>
      <x:c r="E176" s="54" t="b">
        <x:f>COUNTIF('BOM'!$A$4:$A$531,A176)&gt;0</x:f>
        <x:v>0</x:v>
      </x:c>
      <x:c r="F176" s="54" t="b">
        <x:f>COUNTIF('BOM'!$B$4:$B$531,A176)&gt;0</x:f>
        <x:v>1</x:v>
      </x:c>
      <x:c r="G176" s="54" t="str">
        <x:f>IF(COUNTIF($A$4:$A$431,A176)=1,"OK","DUPLICATE SKU")</x:f>
        <x:v>OK</x:v>
      </x:c>
      <x:c r="H176"/>
    </x:row>
    <x:row r="177">
      <x:c r="A177" s="54" t="str">
        <x:v>PRT-0067</x:v>
      </x:c>
      <x:c r="B177" s="54" t="str">
        <x:v>Ratline Cordage, 200 ft Coil</x:v>
      </x:c>
      <x:c r="C177" s="54" t="str">
        <x:v>ROPEWALK</x:v>
      </x:c>
      <x:c r="D177" s="67" t="str">
        <x:v>020171801749</x:v>
      </x:c>
      <x:c r="E177" s="54" t="b">
        <x:f>COUNTIF('BOM'!$A$4:$A$531,A177)&gt;0</x:f>
        <x:v>0</x:v>
      </x:c>
      <x:c r="F177" s="54" t="b">
        <x:f>COUNTIF('BOM'!$B$4:$B$531,A177)&gt;0</x:f>
        <x:v>1</x:v>
      </x:c>
      <x:c r="G177" s="54" t="str">
        <x:f>IF(COUNTIF($A$4:$A$431,A177)=1,"OK","DUPLICATE SKU")</x:f>
        <x:v>OK</x:v>
      </x:c>
      <x:c r="H177"/>
    </x:row>
    <x:row r="178">
      <x:c r="A178" s="54" t="str">
        <x:v>PRT-0068</x:v>
      </x:c>
      <x:c r="B178" s="54" t="str">
        <x:v>Large Deadeye</x:v>
      </x:c>
      <x:c r="C178" s="54" t="str">
        <x:v>BLOCKSHOP</x:v>
      </x:c>
      <x:c r="D178" s="67" t="str">
        <x:v>020171801756</x:v>
      </x:c>
      <x:c r="E178" s="54" t="b">
        <x:f>COUNTIF('BOM'!$A$4:$A$531,A178)&gt;0</x:f>
        <x:v>0</x:v>
      </x:c>
      <x:c r="F178" s="54" t="b">
        <x:f>COUNTIF('BOM'!$B$4:$B$531,A178)&gt;0</x:f>
        <x:v>1</x:v>
      </x:c>
      <x:c r="G178" s="54" t="str">
        <x:f>IF(COUNTIF($A$4:$A$431,A178)=1,"OK","DUPLICATE SKU")</x:f>
        <x:v>OK</x:v>
      </x:c>
      <x:c r="H178"/>
    </x:row>
    <x:row r="179">
      <x:c r="A179" s="54" t="str">
        <x:v>PRT-0069</x:v>
      </x:c>
      <x:c r="B179" s="54" t="str">
        <x:v>Medium Deadeye</x:v>
      </x:c>
      <x:c r="C179" s="54" t="str">
        <x:v>BLOCKSHOP</x:v>
      </x:c>
      <x:c r="D179" s="67" t="str">
        <x:v>020171801763</x:v>
      </x:c>
      <x:c r="E179" s="54" t="b">
        <x:f>COUNTIF('BOM'!$A$4:$A$531,A179)&gt;0</x:f>
        <x:v>0</x:v>
      </x:c>
      <x:c r="F179" s="54" t="b">
        <x:f>COUNTIF('BOM'!$B$4:$B$531,A179)&gt;0</x:f>
        <x:v>1</x:v>
      </x:c>
      <x:c r="G179" s="54" t="str">
        <x:f>IF(COUNTIF($A$4:$A$431,A179)=1,"OK","DUPLICATE SKU")</x:f>
        <x:v>OK</x:v>
      </x:c>
      <x:c r="H179"/>
    </x:row>
    <x:row r="180">
      <x:c r="A180" s="54" t="str">
        <x:v>PRT-0070</x:v>
      </x:c>
      <x:c r="B180" s="54" t="str">
        <x:v>Deadeye Lanyard, 50 ft</x:v>
      </x:c>
      <x:c r="C180" s="54" t="str">
        <x:v>ROPEWALK</x:v>
      </x:c>
      <x:c r="D180" s="67" t="str">
        <x:v>020171801770</x:v>
      </x:c>
      <x:c r="E180" s="54" t="b">
        <x:f>COUNTIF('BOM'!$A$4:$A$531,A180)&gt;0</x:f>
        <x:v>0</x:v>
      </x:c>
      <x:c r="F180" s="54" t="b">
        <x:f>COUNTIF('BOM'!$B$4:$B$531,A180)&gt;0</x:f>
        <x:v>1</x:v>
      </x:c>
      <x:c r="G180" s="54" t="str">
        <x:f>IF(COUNTIF($A$4:$A$431,A180)=1,"OK","DUPLICATE SKU")</x:f>
        <x:v>OK</x:v>
      </x:c>
      <x:c r="H180"/>
    </x:row>
    <x:row r="181">
      <x:c r="A181" s="54" t="str">
        <x:v>PRT-0071</x:v>
      </x:c>
      <x:c r="B181" s="54" t="str">
        <x:v>Iron Chainplate</x:v>
      </x:c>
      <x:c r="C181" s="54" t="str">
        <x:v>FOUNDRY</x:v>
      </x:c>
      <x:c r="D181" s="67" t="str">
        <x:v>020171801787</x:v>
      </x:c>
      <x:c r="E181" s="54" t="b">
        <x:f>COUNTIF('BOM'!$A$4:$A$531,A181)&gt;0</x:f>
        <x:v>0</x:v>
      </x:c>
      <x:c r="F181" s="54" t="b">
        <x:f>COUNTIF('BOM'!$B$4:$B$531,A181)&gt;0</x:f>
        <x:v>1</x:v>
      </x:c>
      <x:c r="G181" s="54" t="str">
        <x:f>IF(COUNTIF($A$4:$A$431,A181)=1,"OK","DUPLICATE SKU")</x:f>
        <x:v>OK</x:v>
      </x:c>
      <x:c r="H181"/>
    </x:row>
    <x:row r="182">
      <x:c r="A182" s="54" t="str">
        <x:v>PRT-0072</x:v>
      </x:c>
      <x:c r="B182" s="54" t="str">
        <x:v>Large Halyard, 200 ft</x:v>
      </x:c>
      <x:c r="C182" s="54" t="str">
        <x:v>ROPEWALK</x:v>
      </x:c>
      <x:c r="D182" s="67" t="str">
        <x:v>020171801794</x:v>
      </x:c>
      <x:c r="E182" s="54" t="b">
        <x:f>COUNTIF('BOM'!$A$4:$A$531,A182)&gt;0</x:f>
        <x:v>0</x:v>
      </x:c>
      <x:c r="F182" s="54" t="b">
        <x:f>COUNTIF('BOM'!$B$4:$B$531,A182)&gt;0</x:f>
        <x:v>1</x:v>
      </x:c>
      <x:c r="G182" s="54" t="str">
        <x:f>IF(COUNTIF($A$4:$A$431,A182)=1,"OK","DUPLICATE SKU")</x:f>
        <x:v>OK</x:v>
      </x:c>
      <x:c r="H182"/>
    </x:row>
    <x:row r="183">
      <x:c r="A183" s="54" t="str">
        <x:v>PRT-0073</x:v>
      </x:c>
      <x:c r="B183" s="54" t="str">
        <x:v>Medium Halyard, 160 ft</x:v>
      </x:c>
      <x:c r="C183" s="54" t="str">
        <x:v>ROPEWALK</x:v>
      </x:c>
      <x:c r="D183" s="67" t="str">
        <x:v>020171801800</x:v>
      </x:c>
      <x:c r="E183" s="54" t="b">
        <x:f>COUNTIF('BOM'!$A$4:$A$531,A183)&gt;0</x:f>
        <x:v>0</x:v>
      </x:c>
      <x:c r="F183" s="54" t="b">
        <x:f>COUNTIF('BOM'!$B$4:$B$531,A183)&gt;0</x:f>
        <x:v>1</x:v>
      </x:c>
      <x:c r="G183" s="54" t="str">
        <x:f>IF(COUNTIF($A$4:$A$431,A183)=1,"OK","DUPLICATE SKU")</x:f>
        <x:v>OK</x:v>
      </x:c>
      <x:c r="H183"/>
    </x:row>
    <x:row r="184">
      <x:c r="A184" s="54" t="str">
        <x:v>PRT-0074</x:v>
      </x:c>
      <x:c r="B184" s="54" t="str">
        <x:v>Large Sail Sheet, 180 ft</x:v>
      </x:c>
      <x:c r="C184" s="54" t="str">
        <x:v>ROPEWALK</x:v>
      </x:c>
      <x:c r="D184" s="67" t="str">
        <x:v>020171801817</x:v>
      </x:c>
      <x:c r="E184" s="54" t="b">
        <x:f>COUNTIF('BOM'!$A$4:$A$531,A184)&gt;0</x:f>
        <x:v>0</x:v>
      </x:c>
      <x:c r="F184" s="54" t="b">
        <x:f>COUNTIF('BOM'!$B$4:$B$531,A184)&gt;0</x:f>
        <x:v>1</x:v>
      </x:c>
      <x:c r="G184" s="54" t="str">
        <x:f>IF(COUNTIF($A$4:$A$431,A184)=1,"OK","DUPLICATE SKU")</x:f>
        <x:v>OK</x:v>
      </x:c>
      <x:c r="H184"/>
    </x:row>
    <x:row r="185">
      <x:c r="A185" s="54" t="str">
        <x:v>PRT-0075</x:v>
      </x:c>
      <x:c r="B185" s="54" t="str">
        <x:v>Medium Sail Sheet, 140 ft</x:v>
      </x:c>
      <x:c r="C185" s="54" t="str">
        <x:v>ROPEWALK</x:v>
      </x:c>
      <x:c r="D185" s="67" t="str">
        <x:v>020171801824</x:v>
      </x:c>
      <x:c r="E185" s="54" t="b">
        <x:f>COUNTIF('BOM'!$A$4:$A$531,A185)&gt;0</x:f>
        <x:v>0</x:v>
      </x:c>
      <x:c r="F185" s="54" t="b">
        <x:f>COUNTIF('BOM'!$B$4:$B$531,A185)&gt;0</x:f>
        <x:v>1</x:v>
      </x:c>
      <x:c r="G185" s="54" t="str">
        <x:f>IF(COUNTIF($A$4:$A$431,A185)=1,"OK","DUPLICATE SKU")</x:f>
        <x:v>OK</x:v>
      </x:c>
      <x:c r="H185"/>
    </x:row>
    <x:row r="186">
      <x:c r="A186" s="54" t="str">
        <x:v>PRT-0076</x:v>
      </x:c>
      <x:c r="B186" s="54" t="str">
        <x:v>Yard Brace, 150 ft</x:v>
      </x:c>
      <x:c r="C186" s="54" t="str">
        <x:v>ROPEWALK</x:v>
      </x:c>
      <x:c r="D186" s="67" t="str">
        <x:v>020171801831</x:v>
      </x:c>
      <x:c r="E186" s="54" t="b">
        <x:f>COUNTIF('BOM'!$A$4:$A$531,A186)&gt;0</x:f>
        <x:v>0</x:v>
      </x:c>
      <x:c r="F186" s="54" t="b">
        <x:f>COUNTIF('BOM'!$B$4:$B$531,A186)&gt;0</x:f>
        <x:v>1</x:v>
      </x:c>
      <x:c r="G186" s="54" t="str">
        <x:f>IF(COUNTIF($A$4:$A$431,A186)=1,"OK","DUPLICATE SKU")</x:f>
        <x:v>OK</x:v>
      </x:c>
      <x:c r="H186"/>
    </x:row>
    <x:row r="187">
      <x:c r="A187" s="54" t="str">
        <x:v>PRT-0077</x:v>
      </x:c>
      <x:c r="B187" s="54" t="str">
        <x:v>Yard Lift, 120 ft</x:v>
      </x:c>
      <x:c r="C187" s="54" t="str">
        <x:v>ROPEWALK</x:v>
      </x:c>
      <x:c r="D187" s="67" t="str">
        <x:v>020171801848</x:v>
      </x:c>
      <x:c r="E187" s="54" t="b">
        <x:f>COUNTIF('BOM'!$A$4:$A$531,A187)&gt;0</x:f>
        <x:v>0</x:v>
      </x:c>
      <x:c r="F187" s="54" t="b">
        <x:f>COUNTIF('BOM'!$B$4:$B$531,A187)&gt;0</x:f>
        <x:v>1</x:v>
      </x:c>
      <x:c r="G187" s="54" t="str">
        <x:f>IF(COUNTIF($A$4:$A$431,A187)=1,"OK","DUPLICATE SKU")</x:f>
        <x:v>OK</x:v>
      </x:c>
      <x:c r="H187"/>
    </x:row>
    <x:row r="188">
      <x:c r="A188" s="54" t="str">
        <x:v>PRT-0078</x:v>
      </x:c>
      <x:c r="B188" s="54" t="str">
        <x:v>Clewline, 100 ft</x:v>
      </x:c>
      <x:c r="C188" s="54" t="str">
        <x:v>ROPEWALK</x:v>
      </x:c>
      <x:c r="D188" s="67" t="str">
        <x:v>020171801855</x:v>
      </x:c>
      <x:c r="E188" s="54" t="b">
        <x:f>COUNTIF('BOM'!$A$4:$A$531,A188)&gt;0</x:f>
        <x:v>0</x:v>
      </x:c>
      <x:c r="F188" s="54" t="b">
        <x:f>COUNTIF('BOM'!$B$4:$B$531,A188)&gt;0</x:f>
        <x:v>1</x:v>
      </x:c>
      <x:c r="G188" s="54" t="str">
        <x:f>IF(COUNTIF($A$4:$A$431,A188)=1,"OK","DUPLICATE SKU")</x:f>
        <x:v>OK</x:v>
      </x:c>
      <x:c r="H188"/>
    </x:row>
    <x:row r="189">
      <x:c r="A189" s="54" t="str">
        <x:v>PRT-0079</x:v>
      </x:c>
      <x:c r="B189" s="54" t="str">
        <x:v>Buntline, 100 ft</x:v>
      </x:c>
      <x:c r="C189" s="54" t="str">
        <x:v>ROPEWALK</x:v>
      </x:c>
      <x:c r="D189" s="67" t="str">
        <x:v>020171801862</x:v>
      </x:c>
      <x:c r="E189" s="54" t="b">
        <x:f>COUNTIF('BOM'!$A$4:$A$531,A189)&gt;0</x:f>
        <x:v>0</x:v>
      </x:c>
      <x:c r="F189" s="54" t="b">
        <x:f>COUNTIF('BOM'!$B$4:$B$531,A189)&gt;0</x:f>
        <x:v>1</x:v>
      </x:c>
      <x:c r="G189" s="54" t="str">
        <x:f>IF(COUNTIF($A$4:$A$431,A189)=1,"OK","DUPLICATE SKU")</x:f>
        <x:v>OK</x:v>
      </x:c>
      <x:c r="H189"/>
    </x:row>
    <x:row r="190">
      <x:c r="A190" s="54" t="str">
        <x:v>PRT-0080</x:v>
      </x:c>
      <x:c r="B190" s="54" t="str">
        <x:v>Course Tack, 100 ft</x:v>
      </x:c>
      <x:c r="C190" s="54" t="str">
        <x:v>ROPEWALK</x:v>
      </x:c>
      <x:c r="D190" s="67" t="str">
        <x:v>020171801879</x:v>
      </x:c>
      <x:c r="E190" s="54" t="b">
        <x:f>COUNTIF('BOM'!$A$4:$A$531,A190)&gt;0</x:f>
        <x:v>0</x:v>
      </x:c>
      <x:c r="F190" s="54" t="b">
        <x:f>COUNTIF('BOM'!$B$4:$B$531,A190)&gt;0</x:f>
        <x:v>1</x:v>
      </x:c>
      <x:c r="G190" s="54" t="str">
        <x:f>IF(COUNTIF($A$4:$A$431,A190)=1,"OK","DUPLICATE SKU")</x:f>
        <x:v>OK</x:v>
      </x:c>
      <x:c r="H190"/>
    </x:row>
    <x:row r="191">
      <x:c r="A191" s="54" t="str">
        <x:v>QAR-0039</x:v>
      </x:c>
      <x:c r="B191" s="54" t="str">
        <x:v>Main Course Sail</x:v>
      </x:c>
      <x:c r="C191" s="54" t="str">
        <x:v>SAILLOFT</x:v>
      </x:c>
      <x:c r="D191" s="67" t="str">
        <x:v>020171801886</x:v>
      </x:c>
      <x:c r="E191" s="54" t="b">
        <x:f>COUNTIF('BOM'!$A$4:$A$531,A191)&gt;0</x:f>
        <x:v>0</x:v>
      </x:c>
      <x:c r="F191" s="54" t="b">
        <x:f>COUNTIF('BOM'!$B$4:$B$531,A191)&gt;0</x:f>
        <x:v>1</x:v>
      </x:c>
      <x:c r="G191" s="54" t="str">
        <x:f>IF(COUNTIF($A$4:$A$431,A191)=1,"OK","DUPLICATE SKU")</x:f>
        <x:v>OK</x:v>
      </x:c>
      <x:c r="H191"/>
    </x:row>
    <x:row r="192">
      <x:c r="A192" s="54" t="str">
        <x:v>QAR-0040</x:v>
      </x:c>
      <x:c r="B192" s="54" t="str">
        <x:v>Main Topsail</x:v>
      </x:c>
      <x:c r="C192" s="54" t="str">
        <x:v>SAILLOFT</x:v>
      </x:c>
      <x:c r="D192" s="67" t="str">
        <x:v>020171801893</x:v>
      </x:c>
      <x:c r="E192" s="54" t="b">
        <x:f>COUNTIF('BOM'!$A$4:$A$531,A192)&gt;0</x:f>
        <x:v>0</x:v>
      </x:c>
      <x:c r="F192" s="54" t="b">
        <x:f>COUNTIF('BOM'!$B$4:$B$531,A192)&gt;0</x:f>
        <x:v>1</x:v>
      </x:c>
      <x:c r="G192" s="54" t="str">
        <x:f>IF(COUNTIF($A$4:$A$431,A192)=1,"OK","DUPLICATE SKU")</x:f>
        <x:v>OK</x:v>
      </x:c>
      <x:c r="H192"/>
    </x:row>
    <x:row r="193">
      <x:c r="A193" s="54" t="str">
        <x:v>QAR-0041</x:v>
      </x:c>
      <x:c r="B193" s="54" t="str">
        <x:v>Main Topgallant Sail</x:v>
      </x:c>
      <x:c r="C193" s="54" t="str">
        <x:v>SAILLOFT</x:v>
      </x:c>
      <x:c r="D193" s="67" t="str">
        <x:v>020171801909</x:v>
      </x:c>
      <x:c r="E193" s="54" t="b">
        <x:f>COUNTIF('BOM'!$A$4:$A$531,A193)&gt;0</x:f>
        <x:v>0</x:v>
      </x:c>
      <x:c r="F193" s="54" t="b">
        <x:f>COUNTIF('BOM'!$B$4:$B$531,A193)&gt;0</x:f>
        <x:v>1</x:v>
      </x:c>
      <x:c r="G193" s="54" t="str">
        <x:f>IF(COUNTIF($A$4:$A$431,A193)=1,"OK","DUPLICATE SKU")</x:f>
        <x:v>OK</x:v>
      </x:c>
      <x:c r="H193"/>
    </x:row>
    <x:row r="194">
      <x:c r="A194" s="54" t="str">
        <x:v>QAR-0042</x:v>
      </x:c>
      <x:c r="B194" s="54" t="str">
        <x:v>Fore Course Sail</x:v>
      </x:c>
      <x:c r="C194" s="54" t="str">
        <x:v>SAILLOFT</x:v>
      </x:c>
      <x:c r="D194" s="67" t="str">
        <x:v>020171801916</x:v>
      </x:c>
      <x:c r="E194" s="54" t="b">
        <x:f>COUNTIF('BOM'!$A$4:$A$531,A194)&gt;0</x:f>
        <x:v>0</x:v>
      </x:c>
      <x:c r="F194" s="54" t="b">
        <x:f>COUNTIF('BOM'!$B$4:$B$531,A194)&gt;0</x:f>
        <x:v>1</x:v>
      </x:c>
      <x:c r="G194" s="54" t="str">
        <x:f>IF(COUNTIF($A$4:$A$431,A194)=1,"OK","DUPLICATE SKU")</x:f>
        <x:v>OK</x:v>
      </x:c>
      <x:c r="H194"/>
    </x:row>
    <x:row r="195">
      <x:c r="A195" s="54" t="str">
        <x:v>QAR-0043</x:v>
      </x:c>
      <x:c r="B195" s="54" t="str">
        <x:v>Fore Topsail</x:v>
      </x:c>
      <x:c r="C195" s="54" t="str">
        <x:v>SAILLOFT</x:v>
      </x:c>
      <x:c r="D195" s="67" t="str">
        <x:v>020171801923</x:v>
      </x:c>
      <x:c r="E195" s="54" t="b">
        <x:f>COUNTIF('BOM'!$A$4:$A$531,A195)&gt;0</x:f>
        <x:v>0</x:v>
      </x:c>
      <x:c r="F195" s="54" t="b">
        <x:f>COUNTIF('BOM'!$B$4:$B$531,A195)&gt;0</x:f>
        <x:v>1</x:v>
      </x:c>
      <x:c r="G195" s="54" t="str">
        <x:f>IF(COUNTIF($A$4:$A$431,A195)=1,"OK","DUPLICATE SKU")</x:f>
        <x:v>OK</x:v>
      </x:c>
      <x:c r="H195"/>
    </x:row>
    <x:row r="196">
      <x:c r="A196" s="54" t="str">
        <x:v>QAR-0044</x:v>
      </x:c>
      <x:c r="B196" s="54" t="str">
        <x:v>Fore Topgallant Sail</x:v>
      </x:c>
      <x:c r="C196" s="54" t="str">
        <x:v>SAILLOFT</x:v>
      </x:c>
      <x:c r="D196" s="67" t="str">
        <x:v>020171801930</x:v>
      </x:c>
      <x:c r="E196" s="54" t="b">
        <x:f>COUNTIF('BOM'!$A$4:$A$531,A196)&gt;0</x:f>
        <x:v>0</x:v>
      </x:c>
      <x:c r="F196" s="54" t="b">
        <x:f>COUNTIF('BOM'!$B$4:$B$531,A196)&gt;0</x:f>
        <x:v>1</x:v>
      </x:c>
      <x:c r="G196" s="54" t="str">
        <x:f>IF(COUNTIF($A$4:$A$431,A196)=1,"OK","DUPLICATE SKU")</x:f>
        <x:v>OK</x:v>
      </x:c>
      <x:c r="H196"/>
    </x:row>
    <x:row r="197">
      <x:c r="A197" s="54" t="str">
        <x:v>QAR-0045</x:v>
      </x:c>
      <x:c r="B197" s="54" t="str">
        <x:v>Mizzen Sail</x:v>
      </x:c>
      <x:c r="C197" s="54" t="str">
        <x:v>SAILLOFT</x:v>
      </x:c>
      <x:c r="D197" s="67" t="str">
        <x:v>020171801947</x:v>
      </x:c>
      <x:c r="E197" s="54" t="b">
        <x:f>COUNTIF('BOM'!$A$4:$A$531,A197)&gt;0</x:f>
        <x:v>0</x:v>
      </x:c>
      <x:c r="F197" s="54" t="b">
        <x:f>COUNTIF('BOM'!$B$4:$B$531,A197)&gt;0</x:f>
        <x:v>1</x:v>
      </x:c>
      <x:c r="G197" s="54" t="str">
        <x:f>IF(COUNTIF($A$4:$A$431,A197)=1,"OK","DUPLICATE SKU")</x:f>
        <x:v>OK</x:v>
      </x:c>
      <x:c r="H197"/>
    </x:row>
    <x:row r="198">
      <x:c r="A198" s="54" t="str">
        <x:v>QAR-0046</x:v>
      </x:c>
      <x:c r="B198" s="54" t="str">
        <x:v>Mizzen Topsail</x:v>
      </x:c>
      <x:c r="C198" s="54" t="str">
        <x:v>SAILLOFT</x:v>
      </x:c>
      <x:c r="D198" s="67" t="str">
        <x:v>020171801954</x:v>
      </x:c>
      <x:c r="E198" s="54" t="b">
        <x:f>COUNTIF('BOM'!$A$4:$A$531,A198)&gt;0</x:f>
        <x:v>0</x:v>
      </x:c>
      <x:c r="F198" s="54" t="b">
        <x:f>COUNTIF('BOM'!$B$4:$B$531,A198)&gt;0</x:f>
        <x:v>1</x:v>
      </x:c>
      <x:c r="G198" s="54" t="str">
        <x:f>IF(COUNTIF($A$4:$A$431,A198)=1,"OK","DUPLICATE SKU")</x:f>
        <x:v>OK</x:v>
      </x:c>
      <x:c r="H198"/>
    </x:row>
    <x:row r="199">
      <x:c r="A199" s="54" t="str">
        <x:v>QAR-0047</x:v>
      </x:c>
      <x:c r="B199" s="54" t="str">
        <x:v>Spritsail</x:v>
      </x:c>
      <x:c r="C199" s="54" t="str">
        <x:v>SAILLOFT</x:v>
      </x:c>
      <x:c r="D199" s="67" t="str">
        <x:v>020171801961</x:v>
      </x:c>
      <x:c r="E199" s="54" t="b">
        <x:f>COUNTIF('BOM'!$A$4:$A$531,A199)&gt;0</x:f>
        <x:v>0</x:v>
      </x:c>
      <x:c r="F199" s="54" t="b">
        <x:f>COUNTIF('BOM'!$B$4:$B$531,A199)&gt;0</x:f>
        <x:v>1</x:v>
      </x:c>
      <x:c r="G199" s="54" t="str">
        <x:f>IF(COUNTIF($A$4:$A$431,A199)=1,"OK","DUPLICATE SKU")</x:f>
        <x:v>OK</x:v>
      </x:c>
      <x:c r="H199"/>
    </x:row>
    <x:row r="200">
      <x:c r="A200" s="54" t="str">
        <x:v>QAR-0048</x:v>
      </x:c>
      <x:c r="B200" s="54" t="str">
        <x:v>Spritsail Topsail</x:v>
      </x:c>
      <x:c r="C200" s="54" t="str">
        <x:v>SAILLOFT</x:v>
      </x:c>
      <x:c r="D200" s="67" t="str">
        <x:v>020171801978</x:v>
      </x:c>
      <x:c r="E200" s="54" t="b">
        <x:f>COUNTIF('BOM'!$A$4:$A$531,A200)&gt;0</x:f>
        <x:v>0</x:v>
      </x:c>
      <x:c r="F200" s="54" t="b">
        <x:f>COUNTIF('BOM'!$B$4:$B$531,A200)&gt;0</x:f>
        <x:v>1</x:v>
      </x:c>
      <x:c r="G200" s="54" t="str">
        <x:f>IF(COUNTIF($A$4:$A$431,A200)=1,"OK","DUPLICATE SKU")</x:f>
        <x:v>OK</x:v>
      </x:c>
      <x:c r="H200"/>
    </x:row>
    <x:row r="201">
      <x:c r="A201" s="54" t="str">
        <x:v>QAR-0049</x:v>
      </x:c>
      <x:c r="B201" s="54" t="str">
        <x:v>Main Staysail</x:v>
      </x:c>
      <x:c r="C201" s="54" t="str">
        <x:v>SAILLOFT</x:v>
      </x:c>
      <x:c r="D201" s="67" t="str">
        <x:v>020171801985</x:v>
      </x:c>
      <x:c r="E201" s="54" t="b">
        <x:f>COUNTIF('BOM'!$A$4:$A$531,A201)&gt;0</x:f>
        <x:v>0</x:v>
      </x:c>
      <x:c r="F201" s="54" t="b">
        <x:f>COUNTIF('BOM'!$B$4:$B$531,A201)&gt;0</x:f>
        <x:v>1</x:v>
      </x:c>
      <x:c r="G201" s="54" t="str">
        <x:f>IF(COUNTIF($A$4:$A$431,A201)=1,"OK","DUPLICATE SKU")</x:f>
        <x:v>OK</x:v>
      </x:c>
      <x:c r="H201"/>
    </x:row>
    <x:row r="202">
      <x:c r="A202" s="54" t="str">
        <x:v>QAR-0050</x:v>
      </x:c>
      <x:c r="B202" s="54" t="str">
        <x:v>Fore Staysail</x:v>
      </x:c>
      <x:c r="C202" s="54" t="str">
        <x:v>SAILLOFT</x:v>
      </x:c>
      <x:c r="D202" s="67" t="str">
        <x:v>020171801992</x:v>
      </x:c>
      <x:c r="E202" s="54" t="b">
        <x:f>COUNTIF('BOM'!$A$4:$A$531,A202)&gt;0</x:f>
        <x:v>0</x:v>
      </x:c>
      <x:c r="F202" s="54" t="b">
        <x:f>COUNTIF('BOM'!$B$4:$B$531,A202)&gt;0</x:f>
        <x:v>1</x:v>
      </x:c>
      <x:c r="G202" s="54" t="str">
        <x:f>IF(COUNTIF($A$4:$A$431,A202)=1,"OK","DUPLICATE SKU")</x:f>
        <x:v>OK</x:v>
      </x:c>
      <x:c r="H202"/>
    </x:row>
    <x:row r="203">
      <x:c r="A203" s="54" t="str">
        <x:v>QAR-0051</x:v>
      </x:c>
      <x:c r="B203" s="54" t="str">
        <x:v>Jib</x:v>
      </x:c>
      <x:c r="C203" s="54" t="str">
        <x:v>SAILLOFT</x:v>
      </x:c>
      <x:c r="D203" s="67" t="str">
        <x:v>020171802005</x:v>
      </x:c>
      <x:c r="E203" s="54" t="b">
        <x:f>COUNTIF('BOM'!$A$4:$A$531,A203)&gt;0</x:f>
        <x:v>0</x:v>
      </x:c>
      <x:c r="F203" s="54" t="b">
        <x:f>COUNTIF('BOM'!$B$4:$B$531,A203)&gt;0</x:f>
        <x:v>1</x:v>
      </x:c>
      <x:c r="G203" s="54" t="str">
        <x:f>IF(COUNTIF($A$4:$A$431,A203)=1,"OK","DUPLICATE SKU")</x:f>
        <x:v>OK</x:v>
      </x:c>
      <x:c r="H203"/>
    </x:row>
    <x:row r="204">
      <x:c r="A204" s="54" t="str">
        <x:v>QAR-0052</x:v>
      </x:c>
      <x:c r="B204" s="54" t="str">
        <x:v>Flying Jib</x:v>
      </x:c>
      <x:c r="C204" s="54" t="str">
        <x:v>SAILLOFT</x:v>
      </x:c>
      <x:c r="D204" s="67" t="str">
        <x:v>020171802012</x:v>
      </x:c>
      <x:c r="E204" s="54" t="b">
        <x:f>COUNTIF('BOM'!$A$4:$A$531,A204)&gt;0</x:f>
        <x:v>0</x:v>
      </x:c>
      <x:c r="F204" s="54" t="b">
        <x:f>COUNTIF('BOM'!$B$4:$B$531,A204)&gt;0</x:f>
        <x:v>1</x:v>
      </x:c>
      <x:c r="G204" s="54" t="str">
        <x:f>IF(COUNTIF($A$4:$A$431,A204)=1,"OK","DUPLICATE SKU")</x:f>
        <x:v>OK</x:v>
      </x:c>
      <x:c r="H204"/>
    </x:row>
    <x:row r="205">
      <x:c r="A205" s="54" t="str">
        <x:v>PRT-0081</x:v>
      </x:c>
      <x:c r="B205" s="54" t="str">
        <x:v>Small Single Block</x:v>
      </x:c>
      <x:c r="C205" s="54" t="str">
        <x:v>BLOCKSHOP</x:v>
      </x:c>
      <x:c r="D205" s="67" t="str">
        <x:v>020171802029</x:v>
      </x:c>
      <x:c r="E205" s="54" t="b">
        <x:f>COUNTIF('BOM'!$A$4:$A$531,A205)&gt;0</x:f>
        <x:v>0</x:v>
      </x:c>
      <x:c r="F205" s="54" t="b">
        <x:f>COUNTIF('BOM'!$B$4:$B$531,A205)&gt;0</x:f>
        <x:v>1</x:v>
      </x:c>
      <x:c r="G205" s="54" t="str">
        <x:f>IF(COUNTIF($A$4:$A$431,A205)=1,"OK","DUPLICATE SKU")</x:f>
        <x:v>OK</x:v>
      </x:c>
      <x:c r="H205"/>
    </x:row>
    <x:row r="206">
      <x:c r="A206" s="54" t="str">
        <x:v>PRT-0082</x:v>
      </x:c>
      <x:c r="B206" s="54" t="str">
        <x:v>Medium Single Block</x:v>
      </x:c>
      <x:c r="C206" s="54" t="str">
        <x:v>BLOCKSHOP</x:v>
      </x:c>
      <x:c r="D206" s="67" t="str">
        <x:v>020171802036</x:v>
      </x:c>
      <x:c r="E206" s="54" t="b">
        <x:f>COUNTIF('BOM'!$A$4:$A$531,A206)&gt;0</x:f>
        <x:v>0</x:v>
      </x:c>
      <x:c r="F206" s="54" t="b">
        <x:f>COUNTIF('BOM'!$B$4:$B$531,A206)&gt;0</x:f>
        <x:v>1</x:v>
      </x:c>
      <x:c r="G206" s="54" t="str">
        <x:f>IF(COUNTIF($A$4:$A$431,A206)=1,"OK","DUPLICATE SKU")</x:f>
        <x:v>OK</x:v>
      </x:c>
      <x:c r="H206"/>
    </x:row>
    <x:row r="207">
      <x:c r="A207" s="54" t="str">
        <x:v>PRT-0083</x:v>
      </x:c>
      <x:c r="B207" s="54" t="str">
        <x:v>Large Single Block</x:v>
      </x:c>
      <x:c r="C207" s="54" t="str">
        <x:v>BLOCKSHOP</x:v>
      </x:c>
      <x:c r="D207" s="67" t="str">
        <x:v>020171802043</x:v>
      </x:c>
      <x:c r="E207" s="54" t="b">
        <x:f>COUNTIF('BOM'!$A$4:$A$531,A207)&gt;0</x:f>
        <x:v>0</x:v>
      </x:c>
      <x:c r="F207" s="54" t="b">
        <x:f>COUNTIF('BOM'!$B$4:$B$531,A207)&gt;0</x:f>
        <x:v>1</x:v>
      </x:c>
      <x:c r="G207" s="54" t="str">
        <x:f>IF(COUNTIF($A$4:$A$431,A207)=1,"OK","DUPLICATE SKU")</x:f>
        <x:v>OK</x:v>
      </x:c>
      <x:c r="H207"/>
    </x:row>
    <x:row r="208">
      <x:c r="A208" s="54" t="str">
        <x:v>PRT-0084</x:v>
      </x:c>
      <x:c r="B208" s="54" t="str">
        <x:v>Medium Double Block</x:v>
      </x:c>
      <x:c r="C208" s="54" t="str">
        <x:v>BLOCKSHOP</x:v>
      </x:c>
      <x:c r="D208" s="67" t="str">
        <x:v>020171802050</x:v>
      </x:c>
      <x:c r="E208" s="54" t="b">
        <x:f>COUNTIF('BOM'!$A$4:$A$531,A208)&gt;0</x:f>
        <x:v>0</x:v>
      </x:c>
      <x:c r="F208" s="54" t="b">
        <x:f>COUNTIF('BOM'!$B$4:$B$531,A208)&gt;0</x:f>
        <x:v>1</x:v>
      </x:c>
      <x:c r="G208" s="54" t="str">
        <x:f>IF(COUNTIF($A$4:$A$431,A208)=1,"OK","DUPLICATE SKU")</x:f>
        <x:v>OK</x:v>
      </x:c>
      <x:c r="H208"/>
    </x:row>
    <x:row r="209">
      <x:c r="A209" s="54" t="str">
        <x:v>PRT-0085</x:v>
      </x:c>
      <x:c r="B209" s="54" t="str">
        <x:v>Large Triple Block</x:v>
      </x:c>
      <x:c r="C209" s="54" t="str">
        <x:v>BLOCKSHOP</x:v>
      </x:c>
      <x:c r="D209" s="67" t="str">
        <x:v>020171802067</x:v>
      </x:c>
      <x:c r="E209" s="54" t="b">
        <x:f>COUNTIF('BOM'!$A$4:$A$531,A209)&gt;0</x:f>
        <x:v>0</x:v>
      </x:c>
      <x:c r="F209" s="54" t="b">
        <x:f>COUNTIF('BOM'!$B$4:$B$531,A209)&gt;0</x:f>
        <x:v>1</x:v>
      </x:c>
      <x:c r="G209" s="54" t="str">
        <x:f>IF(COUNTIF($A$4:$A$431,A209)=1,"OK","DUPLICATE SKU")</x:f>
        <x:v>OK</x:v>
      </x:c>
      <x:c r="H209"/>
    </x:row>
    <x:row r="210">
      <x:c r="A210" s="54" t="str">
        <x:v>PRT-0086</x:v>
      </x:c>
      <x:c r="B210" s="54" t="str">
        <x:v>Iron Rigging Shackle</x:v>
      </x:c>
      <x:c r="C210" s="54" t="str">
        <x:v>FOUNDRY</x:v>
      </x:c>
      <x:c r="D210" s="67" t="str">
        <x:v>020171802074</x:v>
      </x:c>
      <x:c r="E210" s="54" t="b">
        <x:f>COUNTIF('BOM'!$A$4:$A$531,A210)&gt;0</x:f>
        <x:v>0</x:v>
      </x:c>
      <x:c r="F210" s="54" t="b">
        <x:f>COUNTIF('BOM'!$B$4:$B$531,A210)&gt;0</x:f>
        <x:v>1</x:v>
      </x:c>
      <x:c r="G210" s="54" t="str">
        <x:f>IF(COUNTIF($A$4:$A$431,A210)=1,"OK","DUPLICATE SKU")</x:f>
        <x:v>OK</x:v>
      </x:c>
      <x:c r="H210"/>
    </x:row>
    <x:row r="211">
      <x:c r="A211" s="54" t="str">
        <x:v>PRT-0087</x:v>
      </x:c>
      <x:c r="B211" s="54" t="str">
        <x:v>Rope Thimble</x:v>
      </x:c>
      <x:c r="C211" s="54" t="str">
        <x:v>BLOCKSHOP</x:v>
      </x:c>
      <x:c r="D211" s="67" t="str">
        <x:v>020171802081</x:v>
      </x:c>
      <x:c r="E211" s="54" t="b">
        <x:f>COUNTIF('BOM'!$A$4:$A$531,A211)&gt;0</x:f>
        <x:v>0</x:v>
      </x:c>
      <x:c r="F211" s="54" t="b">
        <x:f>COUNTIF('BOM'!$B$4:$B$531,A211)&gt;0</x:f>
        <x:v>1</x:v>
      </x:c>
      <x:c r="G211" s="54" t="str">
        <x:f>IF(COUNTIF($A$4:$A$431,A211)=1,"OK","DUPLICATE SKU")</x:f>
        <x:v>OK</x:v>
      </x:c>
      <x:c r="H211"/>
    </x:row>
    <x:row r="212">
      <x:c r="A212" s="54" t="str">
        <x:v>KIT-0020</x:v>
      </x:c>
      <x:c r="B212" s="54" t="str">
        <x:v>Bower Anchor Outfit</x:v>
      </x:c>
      <x:c r="C212" s="54" t="str">
        <x:v>BOATSWAIN</x:v>
      </x:c>
      <x:c r="D212" s="67" t="str">
        <x:v>020171802098</x:v>
      </x:c>
      <x:c r="E212" s="54" t="b">
        <x:f>COUNTIF('BOM'!$A$4:$A$531,A212)&gt;0</x:f>
        <x:v>1</x:v>
      </x:c>
      <x:c r="F212" s="54" t="b">
        <x:f>COUNTIF('BOM'!$B$4:$B$531,A212)&gt;0</x:f>
        <x:v>1</x:v>
      </x:c>
      <x:c r="G212" s="54" t="str">
        <x:f>IF(COUNTIF($A$4:$A$431,A212)=1,"OK","DUPLICATE SKU")</x:f>
        <x:v>OK</x:v>
      </x:c>
      <x:c r="H212"/>
    </x:row>
    <x:row r="213">
      <x:c r="A213" s="54" t="str">
        <x:v>KIT-0021</x:v>
      </x:c>
      <x:c r="B213" s="54" t="str">
        <x:v>Sheet Anchor Outfit</x:v>
      </x:c>
      <x:c r="C213" s="54" t="str">
        <x:v>BOATSWAIN</x:v>
      </x:c>
      <x:c r="D213" s="67" t="str">
        <x:v>020171802104</x:v>
      </x:c>
      <x:c r="E213" s="54" t="b">
        <x:f>COUNTIF('BOM'!$A$4:$A$531,A213)&gt;0</x:f>
        <x:v>1</x:v>
      </x:c>
      <x:c r="F213" s="54" t="b">
        <x:f>COUNTIF('BOM'!$B$4:$B$531,A213)&gt;0</x:f>
        <x:v>1</x:v>
      </x:c>
      <x:c r="G213" s="54" t="str">
        <x:f>IF(COUNTIF($A$4:$A$431,A213)=1,"OK","DUPLICATE SKU")</x:f>
        <x:v>OK</x:v>
      </x:c>
      <x:c r="H213"/>
    </x:row>
    <x:row r="214">
      <x:c r="A214" s="54" t="str">
        <x:v>KIT-0022</x:v>
      </x:c>
      <x:c r="B214" s="54" t="str">
        <x:v>Stream Anchor Outfit</x:v>
      </x:c>
      <x:c r="C214" s="54" t="str">
        <x:v>BOATSWAIN</x:v>
      </x:c>
      <x:c r="D214" s="67" t="str">
        <x:v>020171802111</x:v>
      </x:c>
      <x:c r="E214" s="54" t="b">
        <x:f>COUNTIF('BOM'!$A$4:$A$531,A214)&gt;0</x:f>
        <x:v>1</x:v>
      </x:c>
      <x:c r="F214" s="54" t="b">
        <x:f>COUNTIF('BOM'!$B$4:$B$531,A214)&gt;0</x:f>
        <x:v>1</x:v>
      </x:c>
      <x:c r="G214" s="54" t="str">
        <x:f>IF(COUNTIF($A$4:$A$431,A214)=1,"OK","DUPLICATE SKU")</x:f>
        <x:v>OK</x:v>
      </x:c>
      <x:c r="H214"/>
    </x:row>
    <x:row r="215">
      <x:c r="A215" s="54" t="str">
        <x:v>KIT-0023</x:v>
      </x:c>
      <x:c r="B215" s="54" t="str">
        <x:v>Kedge Anchor Outfit</x:v>
      </x:c>
      <x:c r="C215" s="54" t="str">
        <x:v>BOATSWAIN</x:v>
      </x:c>
      <x:c r="D215" s="67" t="str">
        <x:v>020171802128</x:v>
      </x:c>
      <x:c r="E215" s="54" t="b">
        <x:f>COUNTIF('BOM'!$A$4:$A$531,A215)&gt;0</x:f>
        <x:v>1</x:v>
      </x:c>
      <x:c r="F215" s="54" t="b">
        <x:f>COUNTIF('BOM'!$B$4:$B$531,A215)&gt;0</x:f>
        <x:v>1</x:v>
      </x:c>
      <x:c r="G215" s="54" t="str">
        <x:f>IF(COUNTIF($A$4:$A$431,A215)=1,"OK","DUPLICATE SKU")</x:f>
        <x:v>OK</x:v>
      </x:c>
      <x:c r="H215"/>
    </x:row>
    <x:row r="216">
      <x:c r="A216" s="54" t="str">
        <x:v>OFT-0012</x:v>
      </x:c>
      <x:c r="B216" s="54" t="str">
        <x:v>Mooring Line Outfit</x:v>
      </x:c>
      <x:c r="C216" s="54" t="str">
        <x:v>BOATSWAIN</x:v>
      </x:c>
      <x:c r="D216" s="67" t="str">
        <x:v>020171802135</x:v>
      </x:c>
      <x:c r="E216" s="54" t="b">
        <x:f>COUNTIF('BOM'!$A$4:$A$531,A216)&gt;0</x:f>
        <x:v>1</x:v>
      </x:c>
      <x:c r="F216" s="54" t="b">
        <x:f>COUNTIF('BOM'!$B$4:$B$531,A216)&gt;0</x:f>
        <x:v>1</x:v>
      </x:c>
      <x:c r="G216" s="54" t="str">
        <x:f>IF(COUNTIF($A$4:$A$431,A216)=1,"OK","DUPLICATE SKU")</x:f>
        <x:v>OK</x:v>
      </x:c>
      <x:c r="H216"/>
    </x:row>
    <x:row r="217">
      <x:c r="A217" s="54" t="str">
        <x:v>PRT-0088</x:v>
      </x:c>
      <x:c r="B217" s="54" t="str">
        <x:v>Bower Anchor</x:v>
      </x:c>
      <x:c r="C217" s="54" t="str">
        <x:v>FOUNDRY</x:v>
      </x:c>
      <x:c r="D217" s="67" t="str">
        <x:v>020171802142</x:v>
      </x:c>
      <x:c r="E217" s="54" t="b">
        <x:f>COUNTIF('BOM'!$A$4:$A$531,A217)&gt;0</x:f>
        <x:v>0</x:v>
      </x:c>
      <x:c r="F217" s="54" t="b">
        <x:f>COUNTIF('BOM'!$B$4:$B$531,A217)&gt;0</x:f>
        <x:v>1</x:v>
      </x:c>
      <x:c r="G217" s="54" t="str">
        <x:f>IF(COUNTIF($A$4:$A$431,A217)=1,"OK","DUPLICATE SKU")</x:f>
        <x:v>OK</x:v>
      </x:c>
      <x:c r="H217"/>
    </x:row>
    <x:row r="218">
      <x:c r="A218" s="54" t="str">
        <x:v>PRT-0089</x:v>
      </x:c>
      <x:c r="B218" s="54" t="str">
        <x:v>Sheet Anchor</x:v>
      </x:c>
      <x:c r="C218" s="54" t="str">
        <x:v>FOUNDRY</x:v>
      </x:c>
      <x:c r="D218" s="67" t="str">
        <x:v>020171802159</x:v>
      </x:c>
      <x:c r="E218" s="54" t="b">
        <x:f>COUNTIF('BOM'!$A$4:$A$531,A218)&gt;0</x:f>
        <x:v>0</x:v>
      </x:c>
      <x:c r="F218" s="54" t="b">
        <x:f>COUNTIF('BOM'!$B$4:$B$531,A218)&gt;0</x:f>
        <x:v>1</x:v>
      </x:c>
      <x:c r="G218" s="54" t="str">
        <x:f>IF(COUNTIF($A$4:$A$431,A218)=1,"OK","DUPLICATE SKU")</x:f>
        <x:v>OK</x:v>
      </x:c>
      <x:c r="H218"/>
    </x:row>
    <x:row r="219">
      <x:c r="A219" s="54" t="str">
        <x:v>PRT-0090</x:v>
      </x:c>
      <x:c r="B219" s="54" t="str">
        <x:v>Stream Anchor</x:v>
      </x:c>
      <x:c r="C219" s="54" t="str">
        <x:v>FOUNDRY</x:v>
      </x:c>
      <x:c r="D219" s="67" t="str">
        <x:v>020171802166</x:v>
      </x:c>
      <x:c r="E219" s="54" t="b">
        <x:f>COUNTIF('BOM'!$A$4:$A$531,A219)&gt;0</x:f>
        <x:v>0</x:v>
      </x:c>
      <x:c r="F219" s="54" t="b">
        <x:f>COUNTIF('BOM'!$B$4:$B$531,A219)&gt;0</x:f>
        <x:v>1</x:v>
      </x:c>
      <x:c r="G219" s="54" t="str">
        <x:f>IF(COUNTIF($A$4:$A$431,A219)=1,"OK","DUPLICATE SKU")</x:f>
        <x:v>OK</x:v>
      </x:c>
      <x:c r="H219"/>
    </x:row>
    <x:row r="220">
      <x:c r="A220" s="54" t="str">
        <x:v>PRT-0091</x:v>
      </x:c>
      <x:c r="B220" s="54" t="str">
        <x:v>Kedge Anchor</x:v>
      </x:c>
      <x:c r="C220" s="54" t="str">
        <x:v>FOUNDRY</x:v>
      </x:c>
      <x:c r="D220" s="67" t="str">
        <x:v>020171802173</x:v>
      </x:c>
      <x:c r="E220" s="54" t="b">
        <x:f>COUNTIF('BOM'!$A$4:$A$531,A220)&gt;0</x:f>
        <x:v>0</x:v>
      </x:c>
      <x:c r="F220" s="54" t="b">
        <x:f>COUNTIF('BOM'!$B$4:$B$531,A220)&gt;0</x:f>
        <x:v>1</x:v>
      </x:c>
      <x:c r="G220" s="54" t="str">
        <x:f>IF(COUNTIF($A$4:$A$431,A220)=1,"OK","DUPLICATE SKU")</x:f>
        <x:v>OK</x:v>
      </x:c>
      <x:c r="H220"/>
    </x:row>
    <x:row r="221">
      <x:c r="A221" s="54" t="str">
        <x:v>PRT-0092</x:v>
      </x:c>
      <x:c r="B221" s="54" t="str">
        <x:v>Bower Cable, 600 ft</x:v>
      </x:c>
      <x:c r="C221" s="54" t="str">
        <x:v>ROPEWALK</x:v>
      </x:c>
      <x:c r="D221" s="67" t="str">
        <x:v>020171802180</x:v>
      </x:c>
      <x:c r="E221" s="54" t="b">
        <x:f>COUNTIF('BOM'!$A$4:$A$531,A221)&gt;0</x:f>
        <x:v>0</x:v>
      </x:c>
      <x:c r="F221" s="54" t="b">
        <x:f>COUNTIF('BOM'!$B$4:$B$531,A221)&gt;0</x:f>
        <x:v>1</x:v>
      </x:c>
      <x:c r="G221" s="54" t="str">
        <x:f>IF(COUNTIF($A$4:$A$431,A221)=1,"OK","DUPLICATE SKU")</x:f>
        <x:v>OK</x:v>
      </x:c>
      <x:c r="H221"/>
    </x:row>
    <x:row r="222">
      <x:c r="A222" s="54" t="str">
        <x:v>PRT-0093</x:v>
      </x:c>
      <x:c r="B222" s="54" t="str">
        <x:v>Sheet Cable, 600 ft</x:v>
      </x:c>
      <x:c r="C222" s="54" t="str">
        <x:v>ROPEWALK</x:v>
      </x:c>
      <x:c r="D222" s="67" t="str">
        <x:v>020171802197</x:v>
      </x:c>
      <x:c r="E222" s="54" t="b">
        <x:f>COUNTIF('BOM'!$A$4:$A$531,A222)&gt;0</x:f>
        <x:v>0</x:v>
      </x:c>
      <x:c r="F222" s="54" t="b">
        <x:f>COUNTIF('BOM'!$B$4:$B$531,A222)&gt;0</x:f>
        <x:v>1</x:v>
      </x:c>
      <x:c r="G222" s="54" t="str">
        <x:f>IF(COUNTIF($A$4:$A$431,A222)=1,"OK","DUPLICATE SKU")</x:f>
        <x:v>OK</x:v>
      </x:c>
      <x:c r="H222"/>
    </x:row>
    <x:row r="223">
      <x:c r="A223" s="54" t="str">
        <x:v>PRT-0094</x:v>
      </x:c>
      <x:c r="B223" s="54" t="str">
        <x:v>Stream Cable, 400 ft</x:v>
      </x:c>
      <x:c r="C223" s="54" t="str">
        <x:v>ROPEWALK</x:v>
      </x:c>
      <x:c r="D223" s="67" t="str">
        <x:v>020171802203</x:v>
      </x:c>
      <x:c r="E223" s="54" t="b">
        <x:f>COUNTIF('BOM'!$A$4:$A$531,A223)&gt;0</x:f>
        <x:v>0</x:v>
      </x:c>
      <x:c r="F223" s="54" t="b">
        <x:f>COUNTIF('BOM'!$B$4:$B$531,A223)&gt;0</x:f>
        <x:v>1</x:v>
      </x:c>
      <x:c r="G223" s="54" t="str">
        <x:f>IF(COUNTIF($A$4:$A$431,A223)=1,"OK","DUPLICATE SKU")</x:f>
        <x:v>OK</x:v>
      </x:c>
      <x:c r="H223"/>
    </x:row>
    <x:row r="224">
      <x:c r="A224" s="54" t="str">
        <x:v>PRT-0095</x:v>
      </x:c>
      <x:c r="B224" s="54" t="str">
        <x:v>Kedge Hawser, 300 ft</x:v>
      </x:c>
      <x:c r="C224" s="54" t="str">
        <x:v>ROPEWALK</x:v>
      </x:c>
      <x:c r="D224" s="67" t="str">
        <x:v>020171802210</x:v>
      </x:c>
      <x:c r="E224" s="54" t="b">
        <x:f>COUNTIF('BOM'!$A$4:$A$531,A224)&gt;0</x:f>
        <x:v>0</x:v>
      </x:c>
      <x:c r="F224" s="54" t="b">
        <x:f>COUNTIF('BOM'!$B$4:$B$531,A224)&gt;0</x:f>
        <x:v>1</x:v>
      </x:c>
      <x:c r="G224" s="54" t="str">
        <x:f>IF(COUNTIF($A$4:$A$431,A224)=1,"OK","DUPLICATE SKU")</x:f>
        <x:v>OK</x:v>
      </x:c>
      <x:c r="H224"/>
    </x:row>
    <x:row r="225">
      <x:c r="A225" s="54" t="str">
        <x:v>ASM-0023</x:v>
      </x:c>
      <x:c r="B225" s="54" t="str">
        <x:v>Anchor Buoy</x:v>
      </x:c>
      <x:c r="C225" s="54" t="str">
        <x:v>SAILLOFT</x:v>
      </x:c>
      <x:c r="D225" s="67" t="str">
        <x:v>020171802227</x:v>
      </x:c>
      <x:c r="E225" s="54" t="b">
        <x:f>COUNTIF('BOM'!$A$4:$A$531,A225)&gt;0</x:f>
        <x:v>0</x:v>
      </x:c>
      <x:c r="F225" s="54" t="b">
        <x:f>COUNTIF('BOM'!$B$4:$B$531,A225)&gt;0</x:f>
        <x:v>1</x:v>
      </x:c>
      <x:c r="G225" s="54" t="str">
        <x:f>IF(COUNTIF($A$4:$A$431,A225)=1,"OK","DUPLICATE SKU")</x:f>
        <x:v>OK</x:v>
      </x:c>
      <x:c r="H225"/>
    </x:row>
    <x:row r="226">
      <x:c r="A226" s="54" t="str">
        <x:v>PRT-0096</x:v>
      </x:c>
      <x:c r="B226" s="54" t="str">
        <x:v>Anchor Buoy Rope, 100 ft</x:v>
      </x:c>
      <x:c r="C226" s="54" t="str">
        <x:v>ROPEWALK</x:v>
      </x:c>
      <x:c r="D226" s="67" t="str">
        <x:v>020171802234</x:v>
      </x:c>
      <x:c r="E226" s="54" t="b">
        <x:f>COUNTIF('BOM'!$A$4:$A$531,A226)&gt;0</x:f>
        <x:v>0</x:v>
      </x:c>
      <x:c r="F226" s="54" t="b">
        <x:f>COUNTIF('BOM'!$B$4:$B$531,A226)&gt;0</x:f>
        <x:v>1</x:v>
      </x:c>
      <x:c r="G226" s="54" t="str">
        <x:f>IF(COUNTIF($A$4:$A$431,A226)=1,"OK","DUPLICATE SKU")</x:f>
        <x:v>OK</x:v>
      </x:c>
      <x:c r="H226"/>
    </x:row>
    <x:row r="227">
      <x:c r="A227" s="54" t="str">
        <x:v>PRT-0097</x:v>
      </x:c>
      <x:c r="B227" s="54" t="str">
        <x:v>Mooring Hawser, 300 ft</x:v>
      </x:c>
      <x:c r="C227" s="54" t="str">
        <x:v>ROPEWALK</x:v>
      </x:c>
      <x:c r="D227" s="67" t="str">
        <x:v>020171802241</x:v>
      </x:c>
      <x:c r="E227" s="54" t="b">
        <x:f>COUNTIF('BOM'!$A$4:$A$531,A227)&gt;0</x:f>
        <x:v>0</x:v>
      </x:c>
      <x:c r="F227" s="54" t="b">
        <x:f>COUNTIF('BOM'!$B$4:$B$531,A227)&gt;0</x:f>
        <x:v>1</x:v>
      </x:c>
      <x:c r="G227" s="54" t="str">
        <x:f>IF(COUNTIF($A$4:$A$431,A227)=1,"OK","DUPLICATE SKU")</x:f>
        <x:v>OK</x:v>
      </x:c>
      <x:c r="H227"/>
    </x:row>
    <x:row r="228">
      <x:c r="A228" s="54" t="str">
        <x:v>PRT-0098</x:v>
      </x:c>
      <x:c r="B228" s="54" t="str">
        <x:v>Heaving Line, 100 ft</x:v>
      </x:c>
      <x:c r="C228" s="54" t="str">
        <x:v>ROPEWALK</x:v>
      </x:c>
      <x:c r="D228" s="67" t="str">
        <x:v>020171802258</x:v>
      </x:c>
      <x:c r="E228" s="54" t="b">
        <x:f>COUNTIF('BOM'!$A$4:$A$531,A228)&gt;0</x:f>
        <x:v>0</x:v>
      </x:c>
      <x:c r="F228" s="54" t="b">
        <x:f>COUNTIF('BOM'!$B$4:$B$531,A228)&gt;0</x:f>
        <x:v>1</x:v>
      </x:c>
      <x:c r="G228" s="54" t="str">
        <x:f>IF(COUNTIF($A$4:$A$431,A228)=1,"OK","DUPLICATE SKU")</x:f>
        <x:v>OK</x:v>
      </x:c>
      <x:c r="H228"/>
    </x:row>
    <x:row r="229">
      <x:c r="A229" s="54" t="str">
        <x:v>LBL-0005</x:v>
      </x:c>
      <x:c r="B229" s="54" t="str">
        <x:v>Safety Label - Team Lift / Heavy Tackle</x:v>
      </x:c>
      <x:c r="C229" s="54" t="str">
        <x:v>LABELSHOP</x:v>
      </x:c>
      <x:c r="D229" s="67" t="str">
        <x:v>020171802265</x:v>
      </x:c>
      <x:c r="E229" s="54" t="b">
        <x:f>COUNTIF('BOM'!$A$4:$A$531,A229)&gt;0</x:f>
        <x:v>0</x:v>
      </x:c>
      <x:c r="F229" s="54" t="b">
        <x:f>COUNTIF('BOM'!$B$4:$B$531,A229)&gt;0</x:f>
        <x:v>1</x:v>
      </x:c>
      <x:c r="G229" s="54" t="str">
        <x:f>IF(COUNTIF($A$4:$A$431,A229)=1,"OK","DUPLICATE SKU")</x:f>
        <x:v>OK</x:v>
      </x:c>
      <x:c r="H229"/>
    </x:row>
    <x:row r="230">
      <x:c r="A230" s="54" t="str">
        <x:v>OFT-0013</x:v>
      </x:c>
      <x:c r="B230" s="54" t="str">
        <x:v>Longboat Complete Outfit</x:v>
      </x:c>
      <x:c r="C230" s="54" t="str">
        <x:v>BOATSHOP</x:v>
      </x:c>
      <x:c r="D230" s="67" t="str">
        <x:v>020171802272</x:v>
      </x:c>
      <x:c r="E230" s="54" t="b">
        <x:f>COUNTIF('BOM'!$A$4:$A$531,A230)&gt;0</x:f>
        <x:v>1</x:v>
      </x:c>
      <x:c r="F230" s="54" t="b">
        <x:f>COUNTIF('BOM'!$B$4:$B$531,A230)&gt;0</x:f>
        <x:v>1</x:v>
      </x:c>
      <x:c r="G230" s="54" t="str">
        <x:f>IF(COUNTIF($A$4:$A$431,A230)=1,"OK","DUPLICATE SKU")</x:f>
        <x:v>OK</x:v>
      </x:c>
      <x:c r="H230"/>
    </x:row>
    <x:row r="231">
      <x:c r="A231" s="54" t="str">
        <x:v>OFT-0014</x:v>
      </x:c>
      <x:c r="B231" s="54" t="str">
        <x:v>Yawl Complete Outfit</x:v>
      </x:c>
      <x:c r="C231" s="54" t="str">
        <x:v>BOATSHOP</x:v>
      </x:c>
      <x:c r="D231" s="67" t="str">
        <x:v>020171802289</x:v>
      </x:c>
      <x:c r="E231" s="54" t="b">
        <x:f>COUNTIF('BOM'!$A$4:$A$531,A231)&gt;0</x:f>
        <x:v>1</x:v>
      </x:c>
      <x:c r="F231" s="54" t="b">
        <x:f>COUNTIF('BOM'!$B$4:$B$531,A231)&gt;0</x:f>
        <x:v>1</x:v>
      </x:c>
      <x:c r="G231" s="54" t="str">
        <x:f>IF(COUNTIF($A$4:$A$431,A231)=1,"OK","DUPLICATE SKU")</x:f>
        <x:v>OK</x:v>
      </x:c>
      <x:c r="H231"/>
    </x:row>
    <x:row r="232">
      <x:c r="A232" s="54" t="str">
        <x:v>OFT-0015</x:v>
      </x:c>
      <x:c r="B232" s="54" t="str">
        <x:v>Jolly Boat Complete Outfit</x:v>
      </x:c>
      <x:c r="C232" s="54" t="str">
        <x:v>BOATSHOP</x:v>
      </x:c>
      <x:c r="D232" s="67" t="str">
        <x:v>020171802296</x:v>
      </x:c>
      <x:c r="E232" s="54" t="b">
        <x:f>COUNTIF('BOM'!$A$4:$A$531,A232)&gt;0</x:f>
        <x:v>1</x:v>
      </x:c>
      <x:c r="F232" s="54" t="b">
        <x:f>COUNTIF('BOM'!$B$4:$B$531,A232)&gt;0</x:f>
        <x:v>1</x:v>
      </x:c>
      <x:c r="G232" s="54" t="str">
        <x:f>IF(COUNTIF($A$4:$A$431,A232)=1,"OK","DUPLICATE SKU")</x:f>
        <x:v>OK</x:v>
      </x:c>
      <x:c r="H232"/>
    </x:row>
    <x:row r="233">
      <x:c r="A233" s="54" t="str">
        <x:v>ASM-0024</x:v>
      </x:c>
      <x:c r="B233" s="54" t="str">
        <x:v>Longboat Hull</x:v>
      </x:c>
      <x:c r="C233" s="54" t="str">
        <x:v>BOATSHOP</x:v>
      </x:c>
      <x:c r="D233" s="67" t="str">
        <x:v>020171802302</x:v>
      </x:c>
      <x:c r="E233" s="54" t="b">
        <x:f>COUNTIF('BOM'!$A$4:$A$531,A233)&gt;0</x:f>
        <x:v>0</x:v>
      </x:c>
      <x:c r="F233" s="54" t="b">
        <x:f>COUNTIF('BOM'!$B$4:$B$531,A233)&gt;0</x:f>
        <x:v>1</x:v>
      </x:c>
      <x:c r="G233" s="54" t="str">
        <x:f>IF(COUNTIF($A$4:$A$431,A233)=1,"OK","DUPLICATE SKU")</x:f>
        <x:v>OK</x:v>
      </x:c>
      <x:c r="H233"/>
    </x:row>
    <x:row r="234">
      <x:c r="A234" s="54" t="str">
        <x:v>ASM-0025</x:v>
      </x:c>
      <x:c r="B234" s="54" t="str">
        <x:v>Yawl Hull</x:v>
      </x:c>
      <x:c r="C234" s="54" t="str">
        <x:v>BOATSHOP</x:v>
      </x:c>
      <x:c r="D234" s="67" t="str">
        <x:v>020171802319</x:v>
      </x:c>
      <x:c r="E234" s="54" t="b">
        <x:f>COUNTIF('BOM'!$A$4:$A$531,A234)&gt;0</x:f>
        <x:v>0</x:v>
      </x:c>
      <x:c r="F234" s="54" t="b">
        <x:f>COUNTIF('BOM'!$B$4:$B$531,A234)&gt;0</x:f>
        <x:v>1</x:v>
      </x:c>
      <x:c r="G234" s="54" t="str">
        <x:f>IF(COUNTIF($A$4:$A$431,A234)=1,"OK","DUPLICATE SKU")</x:f>
        <x:v>OK</x:v>
      </x:c>
      <x:c r="H234"/>
    </x:row>
    <x:row r="235">
      <x:c r="A235" s="54" t="str">
        <x:v>ASM-0026</x:v>
      </x:c>
      <x:c r="B235" s="54" t="str">
        <x:v>Jolly Boat Hull</x:v>
      </x:c>
      <x:c r="C235" s="54" t="str">
        <x:v>BOATSHOP</x:v>
      </x:c>
      <x:c r="D235" s="67" t="str">
        <x:v>020171802326</x:v>
      </x:c>
      <x:c r="E235" s="54" t="b">
        <x:f>COUNTIF('BOM'!$A$4:$A$531,A235)&gt;0</x:f>
        <x:v>0</x:v>
      </x:c>
      <x:c r="F235" s="54" t="b">
        <x:f>COUNTIF('BOM'!$B$4:$B$531,A235)&gt;0</x:f>
        <x:v>1</x:v>
      </x:c>
      <x:c r="G235" s="54" t="str">
        <x:f>IF(COUNTIF($A$4:$A$431,A235)=1,"OK","DUPLICATE SKU")</x:f>
        <x:v>OK</x:v>
      </x:c>
      <x:c r="H235"/>
    </x:row>
    <x:row r="236">
      <x:c r="A236" s="54" t="str">
        <x:v>PRT-0099</x:v>
      </x:c>
      <x:c r="B236" s="54" t="str">
        <x:v>Longboat Oar</x:v>
      </x:c>
      <x:c r="C236" s="54" t="str">
        <x:v>BOATSHOP</x:v>
      </x:c>
      <x:c r="D236" s="67" t="str">
        <x:v>020171802333</x:v>
      </x:c>
      <x:c r="E236" s="54" t="b">
        <x:f>COUNTIF('BOM'!$A$4:$A$531,A236)&gt;0</x:f>
        <x:v>0</x:v>
      </x:c>
      <x:c r="F236" s="54" t="b">
        <x:f>COUNTIF('BOM'!$B$4:$B$531,A236)&gt;0</x:f>
        <x:v>1</x:v>
      </x:c>
      <x:c r="G236" s="54" t="str">
        <x:f>IF(COUNTIF($A$4:$A$431,A236)=1,"OK","DUPLICATE SKU")</x:f>
        <x:v>OK</x:v>
      </x:c>
      <x:c r="H236"/>
    </x:row>
    <x:row r="237">
      <x:c r="A237" s="54" t="str">
        <x:v>PRT-0100</x:v>
      </x:c>
      <x:c r="B237" s="54" t="str">
        <x:v>Boat Oar</x:v>
      </x:c>
      <x:c r="C237" s="54" t="str">
        <x:v>BOATSHOP</x:v>
      </x:c>
      <x:c r="D237" s="67" t="str">
        <x:v>020171802340</x:v>
      </x:c>
      <x:c r="E237" s="54" t="b">
        <x:f>COUNTIF('BOM'!$A$4:$A$531,A237)&gt;0</x:f>
        <x:v>0</x:v>
      </x:c>
      <x:c r="F237" s="54" t="b">
        <x:f>COUNTIF('BOM'!$B$4:$B$531,A237)&gt;0</x:f>
        <x:v>1</x:v>
      </x:c>
      <x:c r="G237" s="54" t="str">
        <x:f>IF(COUNTIF($A$4:$A$431,A237)=1,"OK","DUPLICATE SKU")</x:f>
        <x:v>OK</x:v>
      </x:c>
      <x:c r="H237"/>
    </x:row>
    <x:row r="238">
      <x:c r="A238" s="54" t="str">
        <x:v>ASM-0027</x:v>
      </x:c>
      <x:c r="B238" s="54" t="str">
        <x:v>Boat Rudder and Tiller</x:v>
      </x:c>
      <x:c r="C238" s="54" t="str">
        <x:v>BOATSHOP</x:v>
      </x:c>
      <x:c r="D238" s="67" t="str">
        <x:v>020171802357</x:v>
      </x:c>
      <x:c r="E238" s="54" t="b">
        <x:f>COUNTIF('BOM'!$A$4:$A$531,A238)&gt;0</x:f>
        <x:v>0</x:v>
      </x:c>
      <x:c r="F238" s="54" t="b">
        <x:f>COUNTIF('BOM'!$B$4:$B$531,A238)&gt;0</x:f>
        <x:v>1</x:v>
      </x:c>
      <x:c r="G238" s="54" t="str">
        <x:f>IF(COUNTIF($A$4:$A$431,A238)=1,"OK","DUPLICATE SKU")</x:f>
        <x:v>OK</x:v>
      </x:c>
      <x:c r="H238"/>
    </x:row>
    <x:row r="239">
      <x:c r="A239" s="54" t="str">
        <x:v>ASM-0028</x:v>
      </x:c>
      <x:c r="B239" s="54" t="str">
        <x:v>Boat Mast and Yard</x:v>
      </x:c>
      <x:c r="C239" s="54" t="str">
        <x:v>BOATSHOP</x:v>
      </x:c>
      <x:c r="D239" s="67" t="str">
        <x:v>020171802364</x:v>
      </x:c>
      <x:c r="E239" s="54" t="b">
        <x:f>COUNTIF('BOM'!$A$4:$A$531,A239)&gt;0</x:f>
        <x:v>0</x:v>
      </x:c>
      <x:c r="F239" s="54" t="b">
        <x:f>COUNTIF('BOM'!$B$4:$B$531,A239)&gt;0</x:f>
        <x:v>1</x:v>
      </x:c>
      <x:c r="G239" s="54" t="str">
        <x:f>IF(COUNTIF($A$4:$A$431,A239)=1,"OK","DUPLICATE SKU")</x:f>
        <x:v>OK</x:v>
      </x:c>
      <x:c r="H239"/>
    </x:row>
    <x:row r="240">
      <x:c r="A240" s="54" t="str">
        <x:v>ASM-0029</x:v>
      </x:c>
      <x:c r="B240" s="54" t="str">
        <x:v>Boat Lug Sail</x:v>
      </x:c>
      <x:c r="C240" s="54" t="str">
        <x:v>SAILLOFT</x:v>
      </x:c>
      <x:c r="D240" s="67" t="str">
        <x:v>020171802371</x:v>
      </x:c>
      <x:c r="E240" s="54" t="b">
        <x:f>COUNTIF('BOM'!$A$4:$A$531,A240)&gt;0</x:f>
        <x:v>0</x:v>
      </x:c>
      <x:c r="F240" s="54" t="b">
        <x:f>COUNTIF('BOM'!$B$4:$B$531,A240)&gt;0</x:f>
        <x:v>1</x:v>
      </x:c>
      <x:c r="G240" s="54" t="str">
        <x:f>IF(COUNTIF($A$4:$A$431,A240)=1,"OK","DUPLICATE SKU")</x:f>
        <x:v>OK</x:v>
      </x:c>
      <x:c r="H240"/>
    </x:row>
    <x:row r="241">
      <x:c r="A241" s="54" t="str">
        <x:v>ASM-0030</x:v>
      </x:c>
      <x:c r="B241" s="54" t="str">
        <x:v>Boat Grapnel and Line</x:v>
      </x:c>
      <x:c r="C241" s="54" t="str">
        <x:v>BOATSWAIN</x:v>
      </x:c>
      <x:c r="D241" s="67" t="str">
        <x:v>020171802388</x:v>
      </x:c>
      <x:c r="E241" s="54" t="b">
        <x:f>COUNTIF('BOM'!$A$4:$A$531,A241)&gt;0</x:f>
        <x:v>0</x:v>
      </x:c>
      <x:c r="F241" s="54" t="b">
        <x:f>COUNTIF('BOM'!$B$4:$B$531,A241)&gt;0</x:f>
        <x:v>1</x:v>
      </x:c>
      <x:c r="G241" s="54" t="str">
        <x:f>IF(COUNTIF($A$4:$A$431,A241)=1,"OK","DUPLICATE SKU")</x:f>
        <x:v>OK</x:v>
      </x:c>
      <x:c r="H241"/>
    </x:row>
    <x:row r="242">
      <x:c r="A242" s="54" t="str">
        <x:v>PRT-0101</x:v>
      </x:c>
      <x:c r="B242" s="54" t="str">
        <x:v>Boat Painter, 100 ft</x:v>
      </x:c>
      <x:c r="C242" s="54" t="str">
        <x:v>ROPEWALK</x:v>
      </x:c>
      <x:c r="D242" s="67" t="str">
        <x:v>020171802395</x:v>
      </x:c>
      <x:c r="E242" s="54" t="b">
        <x:f>COUNTIF('BOM'!$A$4:$A$531,A242)&gt;0</x:f>
        <x:v>0</x:v>
      </x:c>
      <x:c r="F242" s="54" t="b">
        <x:f>COUNTIF('BOM'!$B$4:$B$531,A242)&gt;0</x:f>
        <x:v>1</x:v>
      </x:c>
      <x:c r="G242" s="54" t="str">
        <x:f>IF(COUNTIF($A$4:$A$431,A242)=1,"OK","DUPLICATE SKU")</x:f>
        <x:v>OK</x:v>
      </x:c>
      <x:c r="H242"/>
    </x:row>
    <x:row r="243">
      <x:c r="A243" s="54" t="str">
        <x:v>PRT-0102</x:v>
      </x:c>
      <x:c r="B243" s="54" t="str">
        <x:v>Wooden Boat Bailer</x:v>
      </x:c>
      <x:c r="C243" s="54" t="str">
        <x:v>BOATSHOP</x:v>
      </x:c>
      <x:c r="D243" s="67" t="str">
        <x:v>020171802401</x:v>
      </x:c>
      <x:c r="E243" s="54" t="b">
        <x:f>COUNTIF('BOM'!$A$4:$A$531,A243)&gt;0</x:f>
        <x:v>0</x:v>
      </x:c>
      <x:c r="F243" s="54" t="b">
        <x:f>COUNTIF('BOM'!$B$4:$B$531,A243)&gt;0</x:f>
        <x:v>1</x:v>
      </x:c>
      <x:c r="G243" s="54" t="str">
        <x:f>IF(COUNTIF($A$4:$A$431,A243)=1,"OK","DUPLICATE SKU")</x:f>
        <x:v>OK</x:v>
      </x:c>
      <x:c r="H243"/>
    </x:row>
    <x:row r="244">
      <x:c r="A244" s="54" t="str">
        <x:v>PKG-0005</x:v>
      </x:c>
      <x:c r="B244" s="54" t="str">
        <x:v>Boat Water Breaker, 10 gal</x:v>
      </x:c>
      <x:c r="C244" s="54" t="str">
        <x:v>COOPER</x:v>
      </x:c>
      <x:c r="D244" s="67" t="str">
        <x:v>020171802418</x:v>
      </x:c>
      <x:c r="E244" s="54" t="b">
        <x:f>COUNTIF('BOM'!$A$4:$A$531,A244)&gt;0</x:f>
        <x:v>0</x:v>
      </x:c>
      <x:c r="F244" s="54" t="b">
        <x:f>COUNTIF('BOM'!$B$4:$B$531,A244)&gt;0</x:f>
        <x:v>1</x:v>
      </x:c>
      <x:c r="G244" s="54" t="str">
        <x:f>IF(COUNTIF($A$4:$A$431,A244)=1,"OK","DUPLICATE SKU")</x:f>
        <x:v>OK</x:v>
      </x:c>
      <x:c r="H244"/>
    </x:row>
    <x:row r="245">
      <x:c r="A245" s="54" t="str">
        <x:v>KIT-0024</x:v>
      </x:c>
      <x:c r="B245" s="54" t="str">
        <x:v>Boat Emergency Repair Kit</x:v>
      </x:c>
      <x:c r="C245" s="54" t="str">
        <x:v>CARPENTER</x:v>
      </x:c>
      <x:c r="D245" s="67" t="str">
        <x:v>020171802425</x:v>
      </x:c>
      <x:c r="E245" s="54" t="b">
        <x:f>COUNTIF('BOM'!$A$4:$A$531,A245)&gt;0</x:f>
        <x:v>1</x:v>
      </x:c>
      <x:c r="F245" s="54" t="b">
        <x:f>COUNTIF('BOM'!$B$4:$B$531,A245)&gt;0</x:f>
        <x:v>1</x:v>
      </x:c>
      <x:c r="G245" s="54" t="str">
        <x:f>IF(COUNTIF($A$4:$A$431,A245)=1,"OK","DUPLICATE SKU")</x:f>
        <x:v>OK</x:v>
      </x:c>
      <x:c r="H245"/>
    </x:row>
    <x:row r="246">
      <x:c r="A246" s="54" t="str">
        <x:v>KIT-0025</x:v>
      </x:c>
      <x:c r="B246" s="54" t="str">
        <x:v>Navigator's Instrument Chest</x:v>
      </x:c>
      <x:c r="C246" s="54" t="str">
        <x:v>NAVROOM</x:v>
      </x:c>
      <x:c r="D246" s="67" t="str">
        <x:v>020171802432</x:v>
      </x:c>
      <x:c r="E246" s="54" t="b">
        <x:f>COUNTIF('BOM'!$A$4:$A$531,A246)&gt;0</x:f>
        <x:v>1</x:v>
      </x:c>
      <x:c r="F246" s="54" t="b">
        <x:f>COUNTIF('BOM'!$B$4:$B$531,A246)&gt;0</x:f>
        <x:v>1</x:v>
      </x:c>
      <x:c r="G246" s="54" t="str">
        <x:f>IF(COUNTIF($A$4:$A$431,A246)=1,"OK","DUPLICATE SKU")</x:f>
        <x:v>OK</x:v>
      </x:c>
      <x:c r="H246"/>
    </x:row>
    <x:row r="247">
      <x:c r="A247" s="54" t="str">
        <x:v>KIT-0026</x:v>
      </x:c>
      <x:c r="B247" s="54" t="str">
        <x:v>Pilotage and Sounding Kit</x:v>
      </x:c>
      <x:c r="C247" s="54" t="str">
        <x:v>NAVROOM</x:v>
      </x:c>
      <x:c r="D247" s="67" t="str">
        <x:v>020171802449</x:v>
      </x:c>
      <x:c r="E247" s="54" t="b">
        <x:f>COUNTIF('BOM'!$A$4:$A$531,A247)&gt;0</x:f>
        <x:v>1</x:v>
      </x:c>
      <x:c r="F247" s="54" t="b">
        <x:f>COUNTIF('BOM'!$B$4:$B$531,A247)&gt;0</x:f>
        <x:v>1</x:v>
      </x:c>
      <x:c r="G247" s="54" t="str">
        <x:f>IF(COUNTIF($A$4:$A$431,A247)=1,"OK","DUPLICATE SKU")</x:f>
        <x:v>OK</x:v>
      </x:c>
      <x:c r="H247"/>
    </x:row>
    <x:row r="248">
      <x:c r="A248" s="54" t="str">
        <x:v>OFT-0016</x:v>
      </x:c>
      <x:c r="B248" s="54" t="str">
        <x:v>Flags, Lanterns and Signal Outfit</x:v>
      </x:c>
      <x:c r="C248" s="54" t="str">
        <x:v>NAVROOM</x:v>
      </x:c>
      <x:c r="D248" s="67" t="str">
        <x:v>020171802456</x:v>
      </x:c>
      <x:c r="E248" s="54" t="b">
        <x:f>COUNTIF('BOM'!$A$4:$A$531,A248)&gt;0</x:f>
        <x:v>1</x:v>
      </x:c>
      <x:c r="F248" s="54" t="b">
        <x:f>COUNTIF('BOM'!$B$4:$B$531,A248)&gt;0</x:f>
        <x:v>1</x:v>
      </x:c>
      <x:c r="G248" s="54" t="str">
        <x:f>IF(COUNTIF($A$4:$A$431,A248)=1,"OK","DUPLICATE SKU")</x:f>
        <x:v>OK</x:v>
      </x:c>
      <x:c r="H248"/>
    </x:row>
    <x:row r="249">
      <x:c r="A249" s="54" t="str">
        <x:v>ASM-0031</x:v>
      </x:c>
      <x:c r="B249" s="54" t="str">
        <x:v>Mariner's Compass in Box</x:v>
      </x:c>
      <x:c r="C249" s="54" t="str">
        <x:v>NAVROOM</x:v>
      </x:c>
      <x:c r="D249" s="67" t="str">
        <x:v>020171802463</x:v>
      </x:c>
      <x:c r="E249" s="54" t="b">
        <x:f>COUNTIF('BOM'!$A$4:$A$531,A249)&gt;0</x:f>
        <x:v>0</x:v>
      </x:c>
      <x:c r="F249" s="54" t="b">
        <x:f>COUNTIF('BOM'!$B$4:$B$531,A249)&gt;0</x:f>
        <x:v>1</x:v>
      </x:c>
      <x:c r="G249" s="54" t="str">
        <x:f>IF(COUNTIF($A$4:$A$431,A249)=1,"OK","DUPLICATE SKU")</x:f>
        <x:v>OK</x:v>
      </x:c>
      <x:c r="H249"/>
    </x:row>
    <x:row r="250">
      <x:c r="A250" s="54" t="str">
        <x:v>PRT-0103</x:v>
      </x:c>
      <x:c r="B250" s="54" t="str">
        <x:v>Backstaff</x:v>
      </x:c>
      <x:c r="C250" s="54" t="str">
        <x:v>NAVROOM</x:v>
      </x:c>
      <x:c r="D250" s="67" t="str">
        <x:v>020171802470</x:v>
      </x:c>
      <x:c r="E250" s="54" t="b">
        <x:f>COUNTIF('BOM'!$A$4:$A$531,A250)&gt;0</x:f>
        <x:v>0</x:v>
      </x:c>
      <x:c r="F250" s="54" t="b">
        <x:f>COUNTIF('BOM'!$B$4:$B$531,A250)&gt;0</x:f>
        <x:v>1</x:v>
      </x:c>
      <x:c r="G250" s="54" t="str">
        <x:f>IF(COUNTIF($A$4:$A$431,A250)=1,"OK","DUPLICATE SKU")</x:f>
        <x:v>OK</x:v>
      </x:c>
      <x:c r="H250"/>
    </x:row>
    <x:row r="251">
      <x:c r="A251" s="54" t="str">
        <x:v>ASM-0032</x:v>
      </x:c>
      <x:c r="B251" s="54" t="str">
        <x:v>Cross-Staff and Universal Mount</x:v>
      </x:c>
      <x:c r="C251" s="54" t="str">
        <x:v>NAVROOM</x:v>
      </x:c>
      <x:c r="D251" s="67" t="str">
        <x:v>020171802487</x:v>
      </x:c>
      <x:c r="E251" s="54" t="b">
        <x:f>COUNTIF('BOM'!$A$4:$A$531,A251)&gt;0</x:f>
        <x:v>0</x:v>
      </x:c>
      <x:c r="F251" s="54" t="b">
        <x:f>COUNTIF('BOM'!$B$4:$B$531,A251)&gt;0</x:f>
        <x:v>1</x:v>
      </x:c>
      <x:c r="G251" s="54" t="str">
        <x:f>IF(COUNTIF($A$4:$A$431,A251)=1,"OK","DUPLICATE SKU")</x:f>
        <x:v>OK</x:v>
      </x:c>
      <x:c r="H251"/>
    </x:row>
    <x:row r="252">
      <x:c r="A252" s="54" t="str">
        <x:v>PRT-0104</x:v>
      </x:c>
      <x:c r="B252" s="54" t="str">
        <x:v>Brass Navigational Sector</x:v>
      </x:c>
      <x:c r="C252" s="54" t="str">
        <x:v>NAVROOM</x:v>
      </x:c>
      <x:c r="D252" s="67" t="str">
        <x:v>020171802494</x:v>
      </x:c>
      <x:c r="E252" s="54" t="b">
        <x:f>COUNTIF('BOM'!$A$4:$A$531,A252)&gt;0</x:f>
        <x:v>0</x:v>
      </x:c>
      <x:c r="F252" s="54" t="b">
        <x:f>COUNTIF('BOM'!$B$4:$B$531,A252)&gt;0</x:f>
        <x:v>1</x:v>
      </x:c>
      <x:c r="G252" s="54" t="str">
        <x:f>IF(COUNTIF($A$4:$A$431,A252)=1,"OK","DUPLICATE SKU")</x:f>
        <x:v>OK</x:v>
      </x:c>
      <x:c r="H252"/>
    </x:row>
    <x:row r="253">
      <x:c r="A253" s="54" t="str">
        <x:v>PRT-0105</x:v>
      </x:c>
      <x:c r="B253" s="54" t="str">
        <x:v>Brass Dividers</x:v>
      </x:c>
      <x:c r="C253" s="54" t="str">
        <x:v>NAVROOM</x:v>
      </x:c>
      <x:c r="D253" s="67" t="str">
        <x:v>020171802500</x:v>
      </x:c>
      <x:c r="E253" s="54" t="b">
        <x:f>COUNTIF('BOM'!$A$4:$A$531,A253)&gt;0</x:f>
        <x:v>0</x:v>
      </x:c>
      <x:c r="F253" s="54" t="b">
        <x:f>COUNTIF('BOM'!$B$4:$B$531,A253)&gt;0</x:f>
        <x:v>1</x:v>
      </x:c>
      <x:c r="G253" s="54" t="str">
        <x:f>IF(COUNTIF($A$4:$A$431,A253)=1,"OK","DUPLICATE SKU")</x:f>
        <x:v>OK</x:v>
      </x:c>
      <x:c r="H253"/>
    </x:row>
    <x:row r="254">
      <x:c r="A254" s="54" t="str">
        <x:v>PRT-0106</x:v>
      </x:c>
      <x:c r="B254" s="54" t="str">
        <x:v>Thirty-Minute Sandglass</x:v>
      </x:c>
      <x:c r="C254" s="54" t="str">
        <x:v>NAVROOM</x:v>
      </x:c>
      <x:c r="D254" s="67" t="str">
        <x:v>020171802517</x:v>
      </x:c>
      <x:c r="E254" s="54" t="b">
        <x:f>COUNTIF('BOM'!$A$4:$A$531,A254)&gt;0</x:f>
        <x:v>0</x:v>
      </x:c>
      <x:c r="F254" s="54" t="b">
        <x:f>COUNTIF('BOM'!$B$4:$B$531,A254)&gt;0</x:f>
        <x:v>1</x:v>
      </x:c>
      <x:c r="G254" s="54" t="str">
        <x:f>IF(COUNTIF($A$4:$A$431,A254)=1,"OK","DUPLICATE SKU")</x:f>
        <x:v>OK</x:v>
      </x:c>
      <x:c r="H254"/>
    </x:row>
    <x:row r="255">
      <x:c r="A255" s="54" t="str">
        <x:v>PRT-0107</x:v>
      </x:c>
      <x:c r="B255" s="54" t="str">
        <x:v>Twenty-Eight-Second Log Glass</x:v>
      </x:c>
      <x:c r="C255" s="54" t="str">
        <x:v>NAVROOM</x:v>
      </x:c>
      <x:c r="D255" s="67" t="str">
        <x:v>020171802524</x:v>
      </x:c>
      <x:c r="E255" s="54" t="b">
        <x:f>COUNTIF('BOM'!$A$4:$A$531,A255)&gt;0</x:f>
        <x:v>0</x:v>
      </x:c>
      <x:c r="F255" s="54" t="b">
        <x:f>COUNTIF('BOM'!$B$4:$B$531,A255)&gt;0</x:f>
        <x:v>1</x:v>
      </x:c>
      <x:c r="G255" s="54" t="str">
        <x:f>IF(COUNTIF($A$4:$A$431,A255)=1,"OK","DUPLICATE SKU")</x:f>
        <x:v>OK</x:v>
      </x:c>
      <x:c r="H255"/>
    </x:row>
    <x:row r="256">
      <x:c r="A256" s="54" t="str">
        <x:v>ASM-0033</x:v>
      </x:c>
      <x:c r="B256" s="54" t="str">
        <x:v>Chip Log and Knotted Line</x:v>
      </x:c>
      <x:c r="C256" s="54" t="str">
        <x:v>NAVROOM</x:v>
      </x:c>
      <x:c r="D256" s="67" t="str">
        <x:v>020171802531</x:v>
      </x:c>
      <x:c r="E256" s="54" t="b">
        <x:f>COUNTIF('BOM'!$A$4:$A$531,A256)&gt;0</x:f>
        <x:v>0</x:v>
      </x:c>
      <x:c r="F256" s="54" t="b">
        <x:f>COUNTIF('BOM'!$B$4:$B$531,A256)&gt;0</x:f>
        <x:v>1</x:v>
      </x:c>
      <x:c r="G256" s="54" t="str">
        <x:f>IF(COUNTIF($A$4:$A$431,A256)=1,"OK","DUPLICATE SKU")</x:f>
        <x:v>OK</x:v>
      </x:c>
      <x:c r="H256"/>
    </x:row>
    <x:row r="257">
      <x:c r="A257" s="54" t="str">
        <x:v>ASM-0034</x:v>
      </x:c>
      <x:c r="B257" s="54" t="str">
        <x:v>Traverse Board</x:v>
      </x:c>
      <x:c r="C257" s="54" t="str">
        <x:v>NAVROOM</x:v>
      </x:c>
      <x:c r="D257" s="67" t="str">
        <x:v>020171802548</x:v>
      </x:c>
      <x:c r="E257" s="54" t="b">
        <x:f>COUNTIF('BOM'!$A$4:$A$531,A257)&gt;0</x:f>
        <x:v>0</x:v>
      </x:c>
      <x:c r="F257" s="54" t="b">
        <x:f>COUNTIF('BOM'!$B$4:$B$531,A257)&gt;0</x:f>
        <x:v>1</x:v>
      </x:c>
      <x:c r="G257" s="54" t="str">
        <x:f>IF(COUNTIF($A$4:$A$431,A257)=1,"OK","DUPLICATE SKU")</x:f>
        <x:v>OK</x:v>
      </x:c>
      <x:c r="H257"/>
    </x:row>
    <x:row r="258">
      <x:c r="A258" s="54" t="str">
        <x:v>PRT-0108</x:v>
      </x:c>
      <x:c r="B258" s="54" t="str">
        <x:v>Draw-Tube Spyglass</x:v>
      </x:c>
      <x:c r="C258" s="54" t="str">
        <x:v>NAVROOM</x:v>
      </x:c>
      <x:c r="D258" s="67" t="str">
        <x:v>020171802555</x:v>
      </x:c>
      <x:c r="E258" s="54" t="b">
        <x:f>COUNTIF('BOM'!$A$4:$A$531,A258)&gt;0</x:f>
        <x:v>0</x:v>
      </x:c>
      <x:c r="F258" s="54" t="b">
        <x:f>COUNTIF('BOM'!$B$4:$B$531,A258)&gt;0</x:f>
        <x:v>1</x:v>
      </x:c>
      <x:c r="G258" s="54" t="str">
        <x:f>IF(COUNTIF($A$4:$A$431,A258)=1,"OK","DUPLICATE SKU")</x:f>
        <x:v>OK</x:v>
      </x:c>
      <x:c r="H258"/>
    </x:row>
    <x:row r="259">
      <x:c r="A259" s="54" t="str">
        <x:v>PKG-0006</x:v>
      </x:c>
      <x:c r="B259" s="54" t="str">
        <x:v>Waxed Chart Case</x:v>
      </x:c>
      <x:c r="C259" s="54" t="str">
        <x:v>NAVROOM</x:v>
      </x:c>
      <x:c r="D259" s="67" t="str">
        <x:v>020171802562</x:v>
      </x:c>
      <x:c r="E259" s="54" t="b">
        <x:f>COUNTIF('BOM'!$A$4:$A$531,A259)&gt;0</x:f>
        <x:v>0</x:v>
      </x:c>
      <x:c r="F259" s="54" t="b">
        <x:f>COUNTIF('BOM'!$B$4:$B$531,A259)&gt;0</x:f>
        <x:v>1</x:v>
      </x:c>
      <x:c r="G259" s="54" t="str">
        <x:f>IF(COUNTIF($A$4:$A$431,A259)=1,"OK","DUPLICATE SKU")</x:f>
        <x:v>OK</x:v>
      </x:c>
      <x:c r="H259"/>
    </x:row>
    <x:row r="260">
      <x:c r="A260" s="54" t="str">
        <x:v>DOC-0001</x:v>
      </x:c>
      <x:c r="B260" s="54" t="str">
        <x:v>Carolina and Caribbean Coastal Chart Set</x:v>
      </x:c>
      <x:c r="C260" s="54" t="str">
        <x:v>NAVROOM</x:v>
      </x:c>
      <x:c r="D260" s="67" t="str">
        <x:v>020171802579</x:v>
      </x:c>
      <x:c r="E260" s="54" t="b">
        <x:f>COUNTIF('BOM'!$A$4:$A$531,A260)&gt;0</x:f>
        <x:v>0</x:v>
      </x:c>
      <x:c r="F260" s="54" t="b">
        <x:f>COUNTIF('BOM'!$B$4:$B$531,A260)&gt;0</x:f>
        <x:v>1</x:v>
      </x:c>
      <x:c r="G260" s="54" t="str">
        <x:f>IF(COUNTIF($A$4:$A$431,A260)=1,"OK","DUPLICATE SKU")</x:f>
        <x:v>OK</x:v>
      </x:c>
      <x:c r="H260"/>
    </x:row>
    <x:row r="261">
      <x:c r="A261" s="54" t="str">
        <x:v>PRT-0109</x:v>
      </x:c>
      <x:c r="B261" s="54" t="str">
        <x:v>Sounding Lead</x:v>
      </x:c>
      <x:c r="C261" s="54" t="str">
        <x:v>NAVROOM</x:v>
      </x:c>
      <x:c r="D261" s="67" t="str">
        <x:v>020171802586</x:v>
      </x:c>
      <x:c r="E261" s="54" t="b">
        <x:f>COUNTIF('BOM'!$A$4:$A$531,A261)&gt;0</x:f>
        <x:v>0</x:v>
      </x:c>
      <x:c r="F261" s="54" t="b">
        <x:f>COUNTIF('BOM'!$B$4:$B$531,A261)&gt;0</x:f>
        <x:v>1</x:v>
      </x:c>
      <x:c r="G261" s="54" t="str">
        <x:f>IF(COUNTIF($A$4:$A$431,A261)=1,"OK","DUPLICATE SKU")</x:f>
        <x:v>OK</x:v>
      </x:c>
      <x:c r="H261"/>
    </x:row>
    <x:row r="262">
      <x:c r="A262" s="54" t="str">
        <x:v>PRT-0110</x:v>
      </x:c>
      <x:c r="B262" s="54" t="str">
        <x:v>Sounding Line, 100 fathoms</x:v>
      </x:c>
      <x:c r="C262" s="54" t="str">
        <x:v>ROPEWALK</x:v>
      </x:c>
      <x:c r="D262" s="67" t="str">
        <x:v>020171802593</x:v>
      </x:c>
      <x:c r="E262" s="54" t="b">
        <x:f>COUNTIF('BOM'!$A$4:$A$531,A262)&gt;0</x:f>
        <x:v>0</x:v>
      </x:c>
      <x:c r="F262" s="54" t="b">
        <x:f>COUNTIF('BOM'!$B$4:$B$531,A262)&gt;0</x:f>
        <x:v>1</x:v>
      </x:c>
      <x:c r="G262" s="54" t="str">
        <x:f>IF(COUNTIF($A$4:$A$431,A262)=1,"OK","DUPLICATE SKU")</x:f>
        <x:v>OK</x:v>
      </x:c>
      <x:c r="H262"/>
    </x:row>
    <x:row r="263">
      <x:c r="A263" s="54" t="str">
        <x:v>PRT-0111</x:v>
      </x:c>
      <x:c r="B263" s="54" t="str">
        <x:v>Brass Surveying Sight</x:v>
      </x:c>
      <x:c r="C263" s="54" t="str">
        <x:v>NAVROOM</x:v>
      </x:c>
      <x:c r="D263" s="67" t="str">
        <x:v>020171802609</x:v>
      </x:c>
      <x:c r="E263" s="54" t="b">
        <x:f>COUNTIF('BOM'!$A$4:$A$531,A263)&gt;0</x:f>
        <x:v>0</x:v>
      </x:c>
      <x:c r="F263" s="54" t="b">
        <x:f>COUNTIF('BOM'!$B$4:$B$531,A263)&gt;0</x:f>
        <x:v>1</x:v>
      </x:c>
      <x:c r="G263" s="54" t="str">
        <x:f>IF(COUNTIF($A$4:$A$431,A263)=1,"OK","DUPLICATE SKU")</x:f>
        <x:v>OK</x:v>
      </x:c>
      <x:c r="H263"/>
    </x:row>
    <x:row r="264">
      <x:c r="A264" s="54" t="str">
        <x:v>KIT-0027</x:v>
      </x:c>
      <x:c r="B264" s="54" t="str">
        <x:v>Signal Flag Set</x:v>
      </x:c>
      <x:c r="C264" s="54" t="str">
        <x:v>SAILLOFT</x:v>
      </x:c>
      <x:c r="D264" s="67" t="str">
        <x:v>020171802616</x:v>
      </x:c>
      <x:c r="E264" s="54" t="b">
        <x:f>COUNTIF('BOM'!$A$4:$A$531,A264)&gt;0</x:f>
        <x:v>0</x:v>
      </x:c>
      <x:c r="F264" s="54" t="b">
        <x:f>COUNTIF('BOM'!$B$4:$B$531,A264)&gt;0</x:f>
        <x:v>1</x:v>
      </x:c>
      <x:c r="G264" s="54" t="str">
        <x:f>IF(COUNTIF($A$4:$A$431,A264)=1,"OK","DUPLICATE SKU")</x:f>
        <x:v>OK</x:v>
      </x:c>
      <x:c r="H264"/>
    </x:row>
    <x:row r="265">
      <x:c r="A265" s="54" t="str">
        <x:v>QAR-0053</x:v>
      </x:c>
      <x:c r="B265" s="54" t="str">
        <x:v>Blackbeard Reconstruction Ensign</x:v>
      </x:c>
      <x:c r="C265" s="54" t="str">
        <x:v>SAILLOFT</x:v>
      </x:c>
      <x:c r="D265" s="67" t="str">
        <x:v>020171802623</x:v>
      </x:c>
      <x:c r="E265" s="54" t="b">
        <x:f>COUNTIF('BOM'!$A$4:$A$531,A265)&gt;0</x:f>
        <x:v>0</x:v>
      </x:c>
      <x:c r="F265" s="54" t="b">
        <x:f>COUNTIF('BOM'!$B$4:$B$531,A265)&gt;0</x:f>
        <x:v>1</x:v>
      </x:c>
      <x:c r="G265" s="54" t="str">
        <x:f>IF(COUNTIF($A$4:$A$431,A265)=1,"OK","DUPLICATE SKU")</x:f>
        <x:v>OK</x:v>
      </x:c>
      <x:c r="H265"/>
    </x:row>
    <x:row r="266">
      <x:c r="A266" s="54" t="str">
        <x:v>ASM-0035</x:v>
      </x:c>
      <x:c r="B266" s="54" t="str">
        <x:v>Enclosed Deck Lantern</x:v>
      </x:c>
      <x:c r="C266" s="54" t="str">
        <x:v>TINSHOP</x:v>
      </x:c>
      <x:c r="D266" s="67" t="str">
        <x:v>020171802630</x:v>
      </x:c>
      <x:c r="E266" s="54" t="b">
        <x:f>COUNTIF('BOM'!$A$4:$A$531,A266)&gt;0</x:f>
        <x:v>0</x:v>
      </x:c>
      <x:c r="F266" s="54" t="b">
        <x:f>COUNTIF('BOM'!$B$4:$B$531,A266)&gt;0</x:f>
        <x:v>1</x:v>
      </x:c>
      <x:c r="G266" s="54" t="str">
        <x:f>IF(COUNTIF($A$4:$A$431,A266)=1,"OK","DUPLICATE SKU")</x:f>
        <x:v>OK</x:v>
      </x:c>
      <x:c r="H266"/>
    </x:row>
    <x:row r="267">
      <x:c r="A267" s="54" t="str">
        <x:v>ASM-0036</x:v>
      </x:c>
      <x:c r="B267" s="54" t="str">
        <x:v>Small Signal Gun</x:v>
      </x:c>
      <x:c r="C267" s="54" t="str">
        <x:v>GUNDECK</x:v>
      </x:c>
      <x:c r="D267" s="67" t="str">
        <x:v>020171802647</x:v>
      </x:c>
      <x:c r="E267" s="54" t="b">
        <x:f>COUNTIF('BOM'!$A$4:$A$531,A267)&gt;0</x:f>
        <x:v>0</x:v>
      </x:c>
      <x:c r="F267" s="54" t="b">
        <x:f>COUNTIF('BOM'!$B$4:$B$531,A267)&gt;0</x:f>
        <x:v>1</x:v>
      </x:c>
      <x:c r="G267" s="54" t="str">
        <x:f>IF(COUNTIF($A$4:$A$431,A267)=1,"OK","DUPLICATE SKU")</x:f>
        <x:v>OK</x:v>
      </x:c>
      <x:c r="H267"/>
    </x:row>
    <x:row r="268">
      <x:c r="A268" s="54" t="str">
        <x:v>KIT-0028</x:v>
      </x:c>
      <x:c r="B268" s="54" t="str">
        <x:v>Carpenter's Tool Chest</x:v>
      </x:c>
      <x:c r="C268" s="54" t="str">
        <x:v>CARPENTER</x:v>
      </x:c>
      <x:c r="D268" s="67" t="str">
        <x:v>020171802654</x:v>
      </x:c>
      <x:c r="E268" s="54" t="b">
        <x:f>COUNTIF('BOM'!$A$4:$A$531,A268)&gt;0</x:f>
        <x:v>1</x:v>
      </x:c>
      <x:c r="F268" s="54" t="b">
        <x:f>COUNTIF('BOM'!$B$4:$B$531,A268)&gt;0</x:f>
        <x:v>1</x:v>
      </x:c>
      <x:c r="G268" s="54" t="str">
        <x:f>IF(COUNTIF($A$4:$A$431,A268)=1,"OK","DUPLICATE SKU")</x:f>
        <x:v>OK</x:v>
      </x:c>
      <x:c r="H268"/>
    </x:row>
    <x:row r="269">
      <x:c r="A269" s="54" t="str">
        <x:v>KIT-0029</x:v>
      </x:c>
      <x:c r="B269" s="54" t="str">
        <x:v>Caulking and Sealing Chest</x:v>
      </x:c>
      <x:c r="C269" s="54" t="str">
        <x:v>CARPENTER</x:v>
      </x:c>
      <x:c r="D269" s="67" t="str">
        <x:v>020171802661</x:v>
      </x:c>
      <x:c r="E269" s="54" t="b">
        <x:f>COUNTIF('BOM'!$A$4:$A$531,A269)&gt;0</x:f>
        <x:v>1</x:v>
      </x:c>
      <x:c r="F269" s="54" t="b">
        <x:f>COUNTIF('BOM'!$B$4:$B$531,A269)&gt;0</x:f>
        <x:v>1</x:v>
      </x:c>
      <x:c r="G269" s="54" t="str">
        <x:f>IF(COUNTIF($A$4:$A$431,A269)=1,"OK","DUPLICATE SKU")</x:f>
        <x:v>OK</x:v>
      </x:c>
      <x:c r="H269"/>
    </x:row>
    <x:row r="270">
      <x:c r="A270" s="54" t="str">
        <x:v>KIT-0030</x:v>
      </x:c>
      <x:c r="B270" s="54" t="str">
        <x:v>Emergency Hull Patch Kit</x:v>
      </x:c>
      <x:c r="C270" s="54" t="str">
        <x:v>CARPENTER</x:v>
      </x:c>
      <x:c r="D270" s="67" t="str">
        <x:v>020171802678</x:v>
      </x:c>
      <x:c r="E270" s="54" t="b">
        <x:f>COUNTIF('BOM'!$A$4:$A$531,A270)&gt;0</x:f>
        <x:v>1</x:v>
      </x:c>
      <x:c r="F270" s="54" t="b">
        <x:f>COUNTIF('BOM'!$B$4:$B$531,A270)&gt;0</x:f>
        <x:v>1</x:v>
      </x:c>
      <x:c r="G270" s="54" t="str">
        <x:f>IF(COUNTIF($A$4:$A$431,A270)=1,"OK","DUPLICATE SKU")</x:f>
        <x:v>OK</x:v>
      </x:c>
      <x:c r="H270"/>
    </x:row>
    <x:row r="271">
      <x:c r="A271" s="54" t="str">
        <x:v>OFT-0017</x:v>
      </x:c>
      <x:c r="B271" s="54" t="str">
        <x:v>Spare Timber and Planking Lot</x:v>
      </x:c>
      <x:c r="C271" s="54" t="str">
        <x:v>CARPENTER</x:v>
      </x:c>
      <x:c r="D271" s="67" t="str">
        <x:v>020171802685</x:v>
      </x:c>
      <x:c r="E271" s="54" t="b">
        <x:f>COUNTIF('BOM'!$A$4:$A$531,A271)&gt;0</x:f>
        <x:v>1</x:v>
      </x:c>
      <x:c r="F271" s="54" t="b">
        <x:f>COUNTIF('BOM'!$B$4:$B$531,A271)&gt;0</x:f>
        <x:v>1</x:v>
      </x:c>
      <x:c r="G271" s="54" t="str">
        <x:f>IF(COUNTIF($A$4:$A$431,A271)=1,"OK","DUPLICATE SKU")</x:f>
        <x:v>OK</x:v>
      </x:c>
      <x:c r="H271"/>
    </x:row>
    <x:row r="272">
      <x:c r="A272" s="54" t="str">
        <x:v>PRT-0112</x:v>
      </x:c>
      <x:c r="B272" s="54" t="str">
        <x:v>Broad Axe</x:v>
      </x:c>
      <x:c r="C272" s="54" t="str">
        <x:v>CARPENTER</x:v>
      </x:c>
      <x:c r="D272" s="67" t="str">
        <x:v>020171802692</x:v>
      </x:c>
      <x:c r="E272" s="54" t="b">
        <x:f>COUNTIF('BOM'!$A$4:$A$531,A272)&gt;0</x:f>
        <x:v>0</x:v>
      </x:c>
      <x:c r="F272" s="54" t="b">
        <x:f>COUNTIF('BOM'!$B$4:$B$531,A272)&gt;0</x:f>
        <x:v>1</x:v>
      </x:c>
      <x:c r="G272" s="54" t="str">
        <x:f>IF(COUNTIF($A$4:$A$431,A272)=1,"OK","DUPLICATE SKU")</x:f>
        <x:v>OK</x:v>
      </x:c>
      <x:c r="H272"/>
    </x:row>
    <x:row r="273">
      <x:c r="A273" s="54" t="str">
        <x:v>PRT-0113</x:v>
      </x:c>
      <x:c r="B273" s="54" t="str">
        <x:v>Shipwright's Adze</x:v>
      </x:c>
      <x:c r="C273" s="54" t="str">
        <x:v>CARPENTER</x:v>
      </x:c>
      <x:c r="D273" s="67" t="str">
        <x:v>020171802708</x:v>
      </x:c>
      <x:c r="E273" s="54" t="b">
        <x:f>COUNTIF('BOM'!$A$4:$A$531,A273)&gt;0</x:f>
        <x:v>0</x:v>
      </x:c>
      <x:c r="F273" s="54" t="b">
        <x:f>COUNTIF('BOM'!$B$4:$B$531,A273)&gt;0</x:f>
        <x:v>1</x:v>
      </x:c>
      <x:c r="G273" s="54" t="str">
        <x:f>IF(COUNTIF($A$4:$A$431,A273)=1,"OK","DUPLICATE SKU")</x:f>
        <x:v>OK</x:v>
      </x:c>
      <x:c r="H273"/>
    </x:row>
    <x:row r="274">
      <x:c r="A274" s="54" t="str">
        <x:v>PRT-0114</x:v>
      </x:c>
      <x:c r="B274" s="54" t="str">
        <x:v>Pit Saw</x:v>
      </x:c>
      <x:c r="C274" s="54" t="str">
        <x:v>CARPENTER</x:v>
      </x:c>
      <x:c r="D274" s="67" t="str">
        <x:v>020171802715</x:v>
      </x:c>
      <x:c r="E274" s="54" t="b">
        <x:f>COUNTIF('BOM'!$A$4:$A$531,A274)&gt;0</x:f>
        <x:v>0</x:v>
      </x:c>
      <x:c r="F274" s="54" t="b">
        <x:f>COUNTIF('BOM'!$B$4:$B$531,A274)&gt;0</x:f>
        <x:v>1</x:v>
      </x:c>
      <x:c r="G274" s="54" t="str">
        <x:f>IF(COUNTIF($A$4:$A$431,A274)=1,"OK","DUPLICATE SKU")</x:f>
        <x:v>OK</x:v>
      </x:c>
      <x:c r="H274"/>
    </x:row>
    <x:row r="275">
      <x:c r="A275" s="54" t="str">
        <x:v>PRT-0115</x:v>
      </x:c>
      <x:c r="B275" s="54" t="str">
        <x:v>Carpenter's Hand Saw</x:v>
      </x:c>
      <x:c r="C275" s="54" t="str">
        <x:v>CARPENTER</x:v>
      </x:c>
      <x:c r="D275" s="67" t="str">
        <x:v>020171802722</x:v>
      </x:c>
      <x:c r="E275" s="54" t="b">
        <x:f>COUNTIF('BOM'!$A$4:$A$531,A275)&gt;0</x:f>
        <x:v>0</x:v>
      </x:c>
      <x:c r="F275" s="54" t="b">
        <x:f>COUNTIF('BOM'!$B$4:$B$531,A275)&gt;0</x:f>
        <x:v>1</x:v>
      </x:c>
      <x:c r="G275" s="54" t="str">
        <x:f>IF(COUNTIF($A$4:$A$431,A275)=1,"OK","DUPLICATE SKU")</x:f>
        <x:v>OK</x:v>
      </x:c>
      <x:c r="H275"/>
    </x:row>
    <x:row r="276">
      <x:c r="A276" s="54" t="str">
        <x:v>KIT-0031</x:v>
      </x:c>
      <x:c r="B276" s="54" t="str">
        <x:v>Ship Auger Set</x:v>
      </x:c>
      <x:c r="C276" s="54" t="str">
        <x:v>CARPENTER</x:v>
      </x:c>
      <x:c r="D276" s="67" t="str">
        <x:v>020171802739</x:v>
      </x:c>
      <x:c r="E276" s="54" t="b">
        <x:f>COUNTIF('BOM'!$A$4:$A$531,A276)&gt;0</x:f>
        <x:v>0</x:v>
      </x:c>
      <x:c r="F276" s="54" t="b">
        <x:f>COUNTIF('BOM'!$B$4:$B$531,A276)&gt;0</x:f>
        <x:v>1</x:v>
      </x:c>
      <x:c r="G276" s="54" t="str">
        <x:f>IF(COUNTIF($A$4:$A$431,A276)=1,"OK","DUPLICATE SKU")</x:f>
        <x:v>OK</x:v>
      </x:c>
      <x:c r="H276"/>
    </x:row>
    <x:row r="277">
      <x:c r="A277" s="54" t="str">
        <x:v>KIT-0032</x:v>
      </x:c>
      <x:c r="B277" s="54" t="str">
        <x:v>Chisel and Gouge Set</x:v>
      </x:c>
      <x:c r="C277" s="54" t="str">
        <x:v>CARPENTER</x:v>
      </x:c>
      <x:c r="D277" s="67" t="str">
        <x:v>020171802746</x:v>
      </x:c>
      <x:c r="E277" s="54" t="b">
        <x:f>COUNTIF('BOM'!$A$4:$A$531,A277)&gt;0</x:f>
        <x:v>0</x:v>
      </x:c>
      <x:c r="F277" s="54" t="b">
        <x:f>COUNTIF('BOM'!$B$4:$B$531,A277)&gt;0</x:f>
        <x:v>1</x:v>
      </x:c>
      <x:c r="G277" s="54" t="str">
        <x:f>IF(COUNTIF($A$4:$A$431,A277)=1,"OK","DUPLICATE SKU")</x:f>
        <x:v>OK</x:v>
      </x:c>
      <x:c r="H277"/>
    </x:row>
    <x:row r="278">
      <x:c r="A278" s="54" t="str">
        <x:v>PRT-0116</x:v>
      </x:c>
      <x:c r="B278" s="54" t="str">
        <x:v>Claw Hammer</x:v>
      </x:c>
      <x:c r="C278" s="54" t="str">
        <x:v>CARPENTER</x:v>
      </x:c>
      <x:c r="D278" s="67" t="str">
        <x:v>020171802753</x:v>
      </x:c>
      <x:c r="E278" s="54" t="b">
        <x:f>COUNTIF('BOM'!$A$4:$A$531,A278)&gt;0</x:f>
        <x:v>0</x:v>
      </x:c>
      <x:c r="F278" s="54" t="b">
        <x:f>COUNTIF('BOM'!$B$4:$B$531,A278)&gt;0</x:f>
        <x:v>1</x:v>
      </x:c>
      <x:c r="G278" s="54" t="str">
        <x:f>IF(COUNTIF($A$4:$A$431,A278)=1,"OK","DUPLICATE SKU")</x:f>
        <x:v>OK</x:v>
      </x:c>
      <x:c r="H278"/>
    </x:row>
    <x:row r="279">
      <x:c r="A279" s="54" t="str">
        <x:v>PRT-0117</x:v>
      </x:c>
      <x:c r="B279" s="54" t="str">
        <x:v>Large Wooden Mallet</x:v>
      </x:c>
      <x:c r="C279" s="54" t="str">
        <x:v>CARPENTER</x:v>
      </x:c>
      <x:c r="D279" s="67" t="str">
        <x:v>020171802760</x:v>
      </x:c>
      <x:c r="E279" s="54" t="b">
        <x:f>COUNTIF('BOM'!$A$4:$A$531,A279)&gt;0</x:f>
        <x:v>0</x:v>
      </x:c>
      <x:c r="F279" s="54" t="b">
        <x:f>COUNTIF('BOM'!$B$4:$B$531,A279)&gt;0</x:f>
        <x:v>1</x:v>
      </x:c>
      <x:c r="G279" s="54" t="str">
        <x:f>IF(COUNTIF($A$4:$A$431,A279)=1,"OK","DUPLICATE SKU")</x:f>
        <x:v>OK</x:v>
      </x:c>
      <x:c r="H279"/>
    </x:row>
    <x:row r="280">
      <x:c r="A280" s="54" t="str">
        <x:v>PRT-0118</x:v>
      </x:c>
      <x:c r="B280" s="54" t="str">
        <x:v>Iron Crowbar</x:v>
      </x:c>
      <x:c r="C280" s="54" t="str">
        <x:v>CARPENTER</x:v>
      </x:c>
      <x:c r="D280" s="67" t="str">
        <x:v>020171802777</x:v>
      </x:c>
      <x:c r="E280" s="54" t="b">
        <x:f>COUNTIF('BOM'!$A$4:$A$531,A280)&gt;0</x:f>
        <x:v>0</x:v>
      </x:c>
      <x:c r="F280" s="54" t="b">
        <x:f>COUNTIF('BOM'!$B$4:$B$531,A280)&gt;0</x:f>
        <x:v>1</x:v>
      </x:c>
      <x:c r="G280" s="54" t="str">
        <x:f>IF(COUNTIF($A$4:$A$431,A280)=1,"OK","DUPLICATE SKU")</x:f>
        <x:v>OK</x:v>
      </x:c>
      <x:c r="H280"/>
    </x:row>
    <x:row r="281">
      <x:c r="A281" s="54" t="str">
        <x:v>ASM-0037</x:v>
      </x:c>
      <x:c r="B281" s="54" t="str">
        <x:v>Mechanical Jack</x:v>
      </x:c>
      <x:c r="C281" s="54" t="str">
        <x:v>CARPENTER</x:v>
      </x:c>
      <x:c r="D281" s="67" t="str">
        <x:v>020171802784</x:v>
      </x:c>
      <x:c r="E281" s="54" t="b">
        <x:f>COUNTIF('BOM'!$A$4:$A$531,A281)&gt;0</x:f>
        <x:v>0</x:v>
      </x:c>
      <x:c r="F281" s="54" t="b">
        <x:f>COUNTIF('BOM'!$B$4:$B$531,A281)&gt;0</x:f>
        <x:v>1</x:v>
      </x:c>
      <x:c r="G281" s="54" t="str">
        <x:f>IF(COUNTIF($A$4:$A$431,A281)=1,"OK","DUPLICATE SKU")</x:f>
        <x:v>OK</x:v>
      </x:c>
      <x:c r="H281"/>
    </x:row>
    <x:row r="282">
      <x:c r="A282" s="54" t="str">
        <x:v>ASM-0038</x:v>
      </x:c>
      <x:c r="B282" s="54" t="str">
        <x:v>Portable Grindstone Assembly</x:v>
      </x:c>
      <x:c r="C282" s="54" t="str">
        <x:v>CARPENTER</x:v>
      </x:c>
      <x:c r="D282" s="67" t="str">
        <x:v>020171802791</x:v>
      </x:c>
      <x:c r="E282" s="54" t="b">
        <x:f>COUNTIF('BOM'!$A$4:$A$531,A282)&gt;0</x:f>
        <x:v>0</x:v>
      </x:c>
      <x:c r="F282" s="54" t="b">
        <x:f>COUNTIF('BOM'!$B$4:$B$531,A282)&gt;0</x:f>
        <x:v>1</x:v>
      </x:c>
      <x:c r="G282" s="54" t="str">
        <x:f>IF(COUNTIF($A$4:$A$431,A282)=1,"OK","DUPLICATE SKU")</x:f>
        <x:v>OK</x:v>
      </x:c>
      <x:c r="H282"/>
    </x:row>
    <x:row r="283">
      <x:c r="A283" s="54" t="str">
        <x:v>PRT-0119</x:v>
      </x:c>
      <x:c r="B283" s="54" t="str">
        <x:v>Caulking Iron</x:v>
      </x:c>
      <x:c r="C283" s="54" t="str">
        <x:v>CARPENTER</x:v>
      </x:c>
      <x:c r="D283" s="67" t="str">
        <x:v>020171802807</x:v>
      </x:c>
      <x:c r="E283" s="54" t="b">
        <x:f>COUNTIF('BOM'!$A$4:$A$531,A283)&gt;0</x:f>
        <x:v>0</x:v>
      </x:c>
      <x:c r="F283" s="54" t="b">
        <x:f>COUNTIF('BOM'!$B$4:$B$531,A283)&gt;0</x:f>
        <x:v>1</x:v>
      </x:c>
      <x:c r="G283" s="54" t="str">
        <x:f>IF(COUNTIF($A$4:$A$431,A283)=1,"OK","DUPLICATE SKU")</x:f>
        <x:v>OK</x:v>
      </x:c>
      <x:c r="H283"/>
    </x:row>
    <x:row r="284">
      <x:c r="A284" s="54" t="str">
        <x:v>MAT-0010</x:v>
      </x:c>
      <x:c r="B284" s="54" t="str">
        <x:v>Oakum Bale, 25 lb</x:v>
      </x:c>
      <x:c r="C284" s="54" t="str">
        <x:v>CARPENTER</x:v>
      </x:c>
      <x:c r="D284" s="67" t="str">
        <x:v>020171802814</x:v>
      </x:c>
      <x:c r="E284" s="54" t="b">
        <x:f>COUNTIF('BOM'!$A$4:$A$531,A284)&gt;0</x:f>
        <x:v>0</x:v>
      </x:c>
      <x:c r="F284" s="54" t="b">
        <x:f>COUNTIF('BOM'!$B$4:$B$531,A284)&gt;0</x:f>
        <x:v>1</x:v>
      </x:c>
      <x:c r="G284" s="54" t="str">
        <x:f>IF(COUNTIF($A$4:$A$431,A284)=1,"OK","DUPLICATE SKU")</x:f>
        <x:v>OK</x:v>
      </x:c>
      <x:c r="H284"/>
    </x:row>
    <x:row r="285">
      <x:c r="A285" s="54" t="str">
        <x:v>MAT-0011</x:v>
      </x:c>
      <x:c r="B285" s="54" t="str">
        <x:v>Pine Pitch Keg, 25 lb</x:v>
      </x:c>
      <x:c r="C285" s="54" t="str">
        <x:v>CARPENTER</x:v>
      </x:c>
      <x:c r="D285" s="67" t="str">
        <x:v>020171802821</x:v>
      </x:c>
      <x:c r="E285" s="54" t="b">
        <x:f>COUNTIF('BOM'!$A$4:$A$531,A285)&gt;0</x:f>
        <x:v>0</x:v>
      </x:c>
      <x:c r="F285" s="54" t="b">
        <x:f>COUNTIF('BOM'!$B$4:$B$531,A285)&gt;0</x:f>
        <x:v>1</x:v>
      </x:c>
      <x:c r="G285" s="54" t="str">
        <x:f>IF(COUNTIF($A$4:$A$431,A285)=1,"OK","DUPLICATE SKU")</x:f>
        <x:v>OK</x:v>
      </x:c>
      <x:c r="H285"/>
    </x:row>
    <x:row r="286">
      <x:c r="A286" s="54" t="str">
        <x:v>PRT-0120</x:v>
      </x:c>
      <x:c r="B286" s="54" t="str">
        <x:v>Emergency Patch Plank</x:v>
      </x:c>
      <x:c r="C286" s="54" t="str">
        <x:v>CARPENTER</x:v>
      </x:c>
      <x:c r="D286" s="67" t="str">
        <x:v>020171802838</x:v>
      </x:c>
      <x:c r="E286" s="54" t="b">
        <x:f>COUNTIF('BOM'!$A$4:$A$531,A286)&gt;0</x:f>
        <x:v>0</x:v>
      </x:c>
      <x:c r="F286" s="54" t="b">
        <x:f>COUNTIF('BOM'!$B$4:$B$531,A286)&gt;0</x:f>
        <x:v>1</x:v>
      </x:c>
      <x:c r="G286" s="54" t="str">
        <x:f>IF(COUNTIF($A$4:$A$431,A286)=1,"OK","DUPLICATE SKU")</x:f>
        <x:v>OK</x:v>
      </x:c>
      <x:c r="H286"/>
    </x:row>
    <x:row r="287">
      <x:c r="A287" s="54" t="str">
        <x:v>PRT-0121</x:v>
      </x:c>
      <x:c r="B287" s="54" t="str">
        <x:v>Heavy Collision Canvas, 12 x 12 ft</x:v>
      </x:c>
      <x:c r="C287" s="54" t="str">
        <x:v>SAILLOFT</x:v>
      </x:c>
      <x:c r="D287" s="67" t="str">
        <x:v>020171802845</x:v>
      </x:c>
      <x:c r="E287" s="54" t="b">
        <x:f>COUNTIF('BOM'!$A$4:$A$531,A287)&gt;0</x:f>
        <x:v>0</x:v>
      </x:c>
      <x:c r="F287" s="54" t="b">
        <x:f>COUNTIF('BOM'!$B$4:$B$531,A287)&gt;0</x:f>
        <x:v>1</x:v>
      </x:c>
      <x:c r="G287" s="54" t="str">
        <x:f>IF(COUNTIF($A$4:$A$431,A287)=1,"OK","DUPLICATE SKU")</x:f>
        <x:v>OK</x:v>
      </x:c>
      <x:c r="H287"/>
    </x:row>
    <x:row r="288">
      <x:c r="A288" s="54" t="str">
        <x:v>PRT-0122</x:v>
      </x:c>
      <x:c r="B288" s="54" t="str">
        <x:v>Spare Oak Spar Blank</x:v>
      </x:c>
      <x:c r="C288" s="54" t="str">
        <x:v>CARPENTER</x:v>
      </x:c>
      <x:c r="D288" s="67" t="str">
        <x:v>020171802852</x:v>
      </x:c>
      <x:c r="E288" s="54" t="b">
        <x:f>COUNTIF('BOM'!$A$4:$A$531,A288)&gt;0</x:f>
        <x:v>0</x:v>
      </x:c>
      <x:c r="F288" s="54" t="b">
        <x:f>COUNTIF('BOM'!$B$4:$B$531,A288)&gt;0</x:f>
        <x:v>1</x:v>
      </x:c>
      <x:c r="G288" s="54" t="str">
        <x:f>IF(COUNTIF($A$4:$A$431,A288)=1,"OK","DUPLICATE SKU")</x:f>
        <x:v>OK</x:v>
      </x:c>
      <x:c r="H288"/>
    </x:row>
    <x:row r="289">
      <x:c r="A289" s="54" t="str">
        <x:v>PRT-0123</x:v>
      </x:c>
      <x:c r="B289" s="54" t="str">
        <x:v>Spare Oak Plank</x:v>
      </x:c>
      <x:c r="C289" s="54" t="str">
        <x:v>CARPENTER</x:v>
      </x:c>
      <x:c r="D289" s="67" t="str">
        <x:v>020171802869</x:v>
      </x:c>
      <x:c r="E289" s="54" t="b">
        <x:f>COUNTIF('BOM'!$A$4:$A$531,A289)&gt;0</x:f>
        <x:v>0</x:v>
      </x:c>
      <x:c r="F289" s="54" t="b">
        <x:f>COUNTIF('BOM'!$B$4:$B$531,A289)&gt;0</x:f>
        <x:v>1</x:v>
      </x:c>
      <x:c r="G289" s="54" t="str">
        <x:f>IF(COUNTIF($A$4:$A$431,A289)=1,"OK","DUPLICATE SKU")</x:f>
        <x:v>OK</x:v>
      </x:c>
      <x:c r="H289"/>
    </x:row>
    <x:row r="290">
      <x:c r="A290" s="54" t="str">
        <x:v>KIT-0033</x:v>
      </x:c>
      <x:c r="B290" s="54" t="str">
        <x:v>Sailmaker's Tool Chest</x:v>
      </x:c>
      <x:c r="C290" s="54" t="str">
        <x:v>SAILLOFT</x:v>
      </x:c>
      <x:c r="D290" s="67" t="str">
        <x:v>020171802876</x:v>
      </x:c>
      <x:c r="E290" s="54" t="b">
        <x:f>COUNTIF('BOM'!$A$4:$A$531,A290)&gt;0</x:f>
        <x:v>1</x:v>
      </x:c>
      <x:c r="F290" s="54" t="b">
        <x:f>COUNTIF('BOM'!$B$4:$B$531,A290)&gt;0</x:f>
        <x:v>1</x:v>
      </x:c>
      <x:c r="G290" s="54" t="str">
        <x:f>IF(COUNTIF($A$4:$A$431,A290)=1,"OK","DUPLICATE SKU")</x:f>
        <x:v>OK</x:v>
      </x:c>
      <x:c r="H290"/>
    </x:row>
    <x:row r="291">
      <x:c r="A291" s="54" t="str">
        <x:v>KIT-0034</x:v>
      </x:c>
      <x:c r="B291" s="54" t="str">
        <x:v>Rigging Repair Chest</x:v>
      </x:c>
      <x:c r="C291" s="54" t="str">
        <x:v>SAILLOFT</x:v>
      </x:c>
      <x:c r="D291" s="67" t="str">
        <x:v>020171802883</x:v>
      </x:c>
      <x:c r="E291" s="54" t="b">
        <x:f>COUNTIF('BOM'!$A$4:$A$531,A291)&gt;0</x:f>
        <x:v>1</x:v>
      </x:c>
      <x:c r="F291" s="54" t="b">
        <x:f>COUNTIF('BOM'!$B$4:$B$531,A291)&gt;0</x:f>
        <x:v>1</x:v>
      </x:c>
      <x:c r="G291" s="54" t="str">
        <x:f>IF(COUNTIF($A$4:$A$431,A291)=1,"OK","DUPLICATE SKU")</x:f>
        <x:v>OK</x:v>
      </x:c>
      <x:c r="H291"/>
    </x:row>
    <x:row r="292">
      <x:c r="A292" s="54" t="str">
        <x:v>OFT-0018</x:v>
      </x:c>
      <x:c r="B292" s="54" t="str">
        <x:v>Spare Canvas Stock</x:v>
      </x:c>
      <x:c r="C292" s="54" t="str">
        <x:v>SAILLOFT</x:v>
      </x:c>
      <x:c r="D292" s="67" t="str">
        <x:v>020171802890</x:v>
      </x:c>
      <x:c r="E292" s="54" t="b">
        <x:f>COUNTIF('BOM'!$A$4:$A$531,A292)&gt;0</x:f>
        <x:v>1</x:v>
      </x:c>
      <x:c r="F292" s="54" t="b">
        <x:f>COUNTIF('BOM'!$B$4:$B$531,A292)&gt;0</x:f>
        <x:v>1</x:v>
      </x:c>
      <x:c r="G292" s="54" t="str">
        <x:f>IF(COUNTIF($A$4:$A$431,A292)=1,"OK","DUPLICATE SKU")</x:f>
        <x:v>OK</x:v>
      </x:c>
      <x:c r="H292"/>
    </x:row>
    <x:row r="293">
      <x:c r="A293" s="54" t="str">
        <x:v>OFT-0019</x:v>
      </x:c>
      <x:c r="B293" s="54" t="str">
        <x:v>Spare Cordage Stock</x:v>
      </x:c>
      <x:c r="C293" s="54" t="str">
        <x:v>ROPEWALK</x:v>
      </x:c>
      <x:c r="D293" s="67" t="str">
        <x:v>020171802906</x:v>
      </x:c>
      <x:c r="E293" s="54" t="b">
        <x:f>COUNTIF('BOM'!$A$4:$A$531,A293)&gt;0</x:f>
        <x:v>1</x:v>
      </x:c>
      <x:c r="F293" s="54" t="b">
        <x:f>COUNTIF('BOM'!$B$4:$B$531,A293)&gt;0</x:f>
        <x:v>1</x:v>
      </x:c>
      <x:c r="G293" s="54" t="str">
        <x:f>IF(COUNTIF($A$4:$A$431,A293)=1,"OK","DUPLICATE SKU")</x:f>
        <x:v>OK</x:v>
      </x:c>
      <x:c r="H293"/>
    </x:row>
    <x:row r="294">
      <x:c r="A294" s="54" t="str">
        <x:v>PRT-0124</x:v>
      </x:c>
      <x:c r="B294" s="54" t="str">
        <x:v>Large Sail Needle</x:v>
      </x:c>
      <x:c r="C294" s="54" t="str">
        <x:v>SAILLOFT</x:v>
      </x:c>
      <x:c r="D294" s="67" t="str">
        <x:v>020171802913</x:v>
      </x:c>
      <x:c r="E294" s="54" t="b">
        <x:f>COUNTIF('BOM'!$A$4:$A$531,A294)&gt;0</x:f>
        <x:v>0</x:v>
      </x:c>
      <x:c r="F294" s="54" t="b">
        <x:f>COUNTIF('BOM'!$B$4:$B$531,A294)&gt;0</x:f>
        <x:v>1</x:v>
      </x:c>
      <x:c r="G294" s="54" t="str">
        <x:f>IF(COUNTIF($A$4:$A$431,A294)=1,"OK","DUPLICATE SKU")</x:f>
        <x:v>OK</x:v>
      </x:c>
      <x:c r="H294"/>
    </x:row>
    <x:row r="295">
      <x:c r="A295" s="54" t="str">
        <x:v>PRT-0125</x:v>
      </x:c>
      <x:c r="B295" s="54" t="str">
        <x:v>Sailmaker's Palm</x:v>
      </x:c>
      <x:c r="C295" s="54" t="str">
        <x:v>SAILLOFT</x:v>
      </x:c>
      <x:c r="D295" s="67" t="str">
        <x:v>020171802920</x:v>
      </x:c>
      <x:c r="E295" s="54" t="b">
        <x:f>COUNTIF('BOM'!$A$4:$A$531,A295)&gt;0</x:f>
        <x:v>0</x:v>
      </x:c>
      <x:c r="F295" s="54" t="b">
        <x:f>COUNTIF('BOM'!$B$4:$B$531,A295)&gt;0</x:f>
        <x:v>1</x:v>
      </x:c>
      <x:c r="G295" s="54" t="str">
        <x:f>IF(COUNTIF($A$4:$A$431,A295)=1,"OK","DUPLICATE SKU")</x:f>
        <x:v>OK</x:v>
      </x:c>
      <x:c r="H295"/>
    </x:row>
    <x:row r="296">
      <x:c r="A296" s="54" t="str">
        <x:v>MAT-0012</x:v>
      </x:c>
      <x:c r="B296" s="54" t="str">
        <x:v>Waxed Sail Thread Spool</x:v>
      </x:c>
      <x:c r="C296" s="54" t="str">
        <x:v>SAILLOFT</x:v>
      </x:c>
      <x:c r="D296" s="67" t="str">
        <x:v>020171802937</x:v>
      </x:c>
      <x:c r="E296" s="54" t="b">
        <x:f>COUNTIF('BOM'!$A$4:$A$531,A296)&gt;0</x:f>
        <x:v>0</x:v>
      </x:c>
      <x:c r="F296" s="54" t="b">
        <x:f>COUNTIF('BOM'!$B$4:$B$531,A296)&gt;0</x:f>
        <x:v>1</x:v>
      </x:c>
      <x:c r="G296" s="54" t="str">
        <x:f>IF(COUNTIF($A$4:$A$431,A296)=1,"OK","DUPLICATE SKU")</x:f>
        <x:v>OK</x:v>
      </x:c>
      <x:c r="H296"/>
    </x:row>
    <x:row r="297">
      <x:c r="A297" s="54" t="str">
        <x:v>PRT-0126</x:v>
      </x:c>
      <x:c r="B297" s="54" t="str">
        <x:v>Large Rigging Fid</x:v>
      </x:c>
      <x:c r="C297" s="54" t="str">
        <x:v>SAILLOFT</x:v>
      </x:c>
      <x:c r="D297" s="67" t="str">
        <x:v>020171802944</x:v>
      </x:c>
      <x:c r="E297" s="54" t="b">
        <x:f>COUNTIF('BOM'!$A$4:$A$531,A297)&gt;0</x:f>
        <x:v>0</x:v>
      </x:c>
      <x:c r="F297" s="54" t="b">
        <x:f>COUNTIF('BOM'!$B$4:$B$531,A297)&gt;0</x:f>
        <x:v>1</x:v>
      </x:c>
      <x:c r="G297" s="54" t="str">
        <x:f>IF(COUNTIF($A$4:$A$431,A297)=1,"OK","DUPLICATE SKU")</x:f>
        <x:v>OK</x:v>
      </x:c>
      <x:c r="H297"/>
    </x:row>
    <x:row r="298">
      <x:c r="A298" s="54" t="str">
        <x:v>PRT-0127</x:v>
      </x:c>
      <x:c r="B298" s="54" t="str">
        <x:v>Iron Marlinespike</x:v>
      </x:c>
      <x:c r="C298" s="54" t="str">
        <x:v>SAILLOFT</x:v>
      </x:c>
      <x:c r="D298" s="67" t="str">
        <x:v>020171802951</x:v>
      </x:c>
      <x:c r="E298" s="54" t="b">
        <x:f>COUNTIF('BOM'!$A$4:$A$531,A298)&gt;0</x:f>
        <x:v>0</x:v>
      </x:c>
      <x:c r="F298" s="54" t="b">
        <x:f>COUNTIF('BOM'!$B$4:$B$531,A298)&gt;0</x:f>
        <x:v>1</x:v>
      </x:c>
      <x:c r="G298" s="54" t="str">
        <x:f>IF(COUNTIF($A$4:$A$431,A298)=1,"OK","DUPLICATE SKU")</x:f>
        <x:v>OK</x:v>
      </x:c>
      <x:c r="H298"/>
    </x:row>
    <x:row r="299">
      <x:c r="A299" s="54" t="str">
        <x:v>PRT-0128</x:v>
      </x:c>
      <x:c r="B299" s="54" t="str">
        <x:v>Wooden Seam Rubber</x:v>
      </x:c>
      <x:c r="C299" s="54" t="str">
        <x:v>SAILLOFT</x:v>
      </x:c>
      <x:c r="D299" s="67" t="str">
        <x:v>020171802968</x:v>
      </x:c>
      <x:c r="E299" s="54" t="b">
        <x:f>COUNTIF('BOM'!$A$4:$A$531,A299)&gt;0</x:f>
        <x:v>0</x:v>
      </x:c>
      <x:c r="F299" s="54" t="b">
        <x:f>COUNTIF('BOM'!$B$4:$B$531,A299)&gt;0</x:f>
        <x:v>1</x:v>
      </x:c>
      <x:c r="G299" s="54" t="str">
        <x:f>IF(COUNTIF($A$4:$A$431,A299)=1,"OK","DUPLICATE SKU")</x:f>
        <x:v>OK</x:v>
      </x:c>
      <x:c r="H299"/>
    </x:row>
    <x:row r="300">
      <x:c r="A300" s="54" t="str">
        <x:v>MAT-0013</x:v>
      </x:c>
      <x:c r="B300" s="54" t="str">
        <x:v>Sail Canvas Bolt, 40 yd</x:v>
      </x:c>
      <x:c r="C300" s="54" t="str">
        <x:v>SAILLOFT</x:v>
      </x:c>
      <x:c r="D300" s="67" t="str">
        <x:v>020171802975</x:v>
      </x:c>
      <x:c r="E300" s="54" t="b">
        <x:f>COUNTIF('BOM'!$A$4:$A$531,A300)&gt;0</x:f>
        <x:v>0</x:v>
      </x:c>
      <x:c r="F300" s="54" t="b">
        <x:f>COUNTIF('BOM'!$B$4:$B$531,A300)&gt;0</x:f>
        <x:v>1</x:v>
      </x:c>
      <x:c r="G300" s="54" t="str">
        <x:f>IF(COUNTIF($A$4:$A$431,A300)=1,"OK","DUPLICATE SKU")</x:f>
        <x:v>OK</x:v>
      </x:c>
      <x:c r="H300"/>
    </x:row>
    <x:row r="301">
      <x:c r="A301" s="54" t="str">
        <x:v>MAT-0014</x:v>
      </x:c>
      <x:c r="B301" s="54" t="str">
        <x:v>Heavy Canvas Bolt, 30 yd</x:v>
      </x:c>
      <x:c r="C301" s="54" t="str">
        <x:v>SAILLOFT</x:v>
      </x:c>
      <x:c r="D301" s="67" t="str">
        <x:v>020171802982</x:v>
      </x:c>
      <x:c r="E301" s="54" t="b">
        <x:f>COUNTIF('BOM'!$A$4:$A$531,A301)&gt;0</x:f>
        <x:v>0</x:v>
      </x:c>
      <x:c r="F301" s="54" t="b">
        <x:f>COUNTIF('BOM'!$B$4:$B$531,A301)&gt;0</x:f>
        <x:v>1</x:v>
      </x:c>
      <x:c r="G301" s="54" t="str">
        <x:f>IF(COUNTIF($A$4:$A$431,A301)=1,"OK","DUPLICATE SKU")</x:f>
        <x:v>OK</x:v>
      </x:c>
      <x:c r="H301"/>
    </x:row>
    <x:row r="302">
      <x:c r="A302" s="54" t="str">
        <x:v>MAT-0015</x:v>
      </x:c>
      <x:c r="B302" s="54" t="str">
        <x:v>Marline, 200 ft Coil</x:v>
      </x:c>
      <x:c r="C302" s="54" t="str">
        <x:v>ROPEWALK</x:v>
      </x:c>
      <x:c r="D302" s="67" t="str">
        <x:v>020171802999</x:v>
      </x:c>
      <x:c r="E302" s="54" t="b">
        <x:f>COUNTIF('BOM'!$A$4:$A$531,A302)&gt;0</x:f>
        <x:v>0</x:v>
      </x:c>
      <x:c r="F302" s="54" t="b">
        <x:f>COUNTIF('BOM'!$B$4:$B$531,A302)&gt;0</x:f>
        <x:v>1</x:v>
      </x:c>
      <x:c r="G302" s="54" t="str">
        <x:f>IF(COUNTIF($A$4:$A$431,A302)=1,"OK","DUPLICATE SKU")</x:f>
        <x:v>OK</x:v>
      </x:c>
      <x:c r="H302"/>
    </x:row>
    <x:row r="303">
      <x:c r="A303" s="54" t="str">
        <x:v>MAT-0016</x:v>
      </x:c>
      <x:c r="B303" s="54" t="str">
        <x:v>One-Inch Rope, 200 ft Coil</x:v>
      </x:c>
      <x:c r="C303" s="54" t="str">
        <x:v>ROPEWALK</x:v>
      </x:c>
      <x:c r="D303" s="67" t="str">
        <x:v>020171803002</x:v>
      </x:c>
      <x:c r="E303" s="54" t="b">
        <x:f>COUNTIF('BOM'!$A$4:$A$531,A303)&gt;0</x:f>
        <x:v>0</x:v>
      </x:c>
      <x:c r="F303" s="54" t="b">
        <x:f>COUNTIF('BOM'!$B$4:$B$531,A303)&gt;0</x:f>
        <x:v>1</x:v>
      </x:c>
      <x:c r="G303" s="54" t="str">
        <x:f>IF(COUNTIF($A$4:$A$431,A303)=1,"OK","DUPLICATE SKU")</x:f>
        <x:v>OK</x:v>
      </x:c>
      <x:c r="H303"/>
    </x:row>
    <x:row r="304">
      <x:c r="A304" s="54" t="str">
        <x:v>MAT-0017</x:v>
      </x:c>
      <x:c r="B304" s="54" t="str">
        <x:v>Two-Inch Rope, 200 ft Coil</x:v>
      </x:c>
      <x:c r="C304" s="54" t="str">
        <x:v>ROPEWALK</x:v>
      </x:c>
      <x:c r="D304" s="67" t="str">
        <x:v>020171803019</x:v>
      </x:c>
      <x:c r="E304" s="54" t="b">
        <x:f>COUNTIF('BOM'!$A$4:$A$531,A304)&gt;0</x:f>
        <x:v>0</x:v>
      </x:c>
      <x:c r="F304" s="54" t="b">
        <x:f>COUNTIF('BOM'!$B$4:$B$531,A304)&gt;0</x:f>
        <x:v>1</x:v>
      </x:c>
      <x:c r="G304" s="54" t="str">
        <x:f>IF(COUNTIF($A$4:$A$431,A304)=1,"OK","DUPLICATE SKU")</x:f>
        <x:v>OK</x:v>
      </x:c>
      <x:c r="H304"/>
    </x:row>
    <x:row r="305">
      <x:c r="A305" s="54" t="str">
        <x:v>MAT-0018</x:v>
      </x:c>
      <x:c r="B305" s="54" t="str">
        <x:v>Three-Inch Rope, 200 ft Coil</x:v>
      </x:c>
      <x:c r="C305" s="54" t="str">
        <x:v>ROPEWALK</x:v>
      </x:c>
      <x:c r="D305" s="67" t="str">
        <x:v>020171803026</x:v>
      </x:c>
      <x:c r="E305" s="54" t="b">
        <x:f>COUNTIF('BOM'!$A$4:$A$531,A305)&gt;0</x:f>
        <x:v>0</x:v>
      </x:c>
      <x:c r="F305" s="54" t="b">
        <x:f>COUNTIF('BOM'!$B$4:$B$531,A305)&gt;0</x:f>
        <x:v>1</x:v>
      </x:c>
      <x:c r="G305" s="54" t="str">
        <x:f>IF(COUNTIF($A$4:$A$431,A305)=1,"OK","DUPLICATE SKU")</x:f>
        <x:v>OK</x:v>
      </x:c>
      <x:c r="H305"/>
    </x:row>
    <x:row r="306">
      <x:c r="A306" s="54" t="str">
        <x:v>MAT-0019</x:v>
      </x:c>
      <x:c r="B306" s="54" t="str">
        <x:v>Stockholm Tar Keg, 25 lb</x:v>
      </x:c>
      <x:c r="C306" s="54" t="str">
        <x:v>ROPEWALK</x:v>
      </x:c>
      <x:c r="D306" s="67" t="str">
        <x:v>020171803033</x:v>
      </x:c>
      <x:c r="E306" s="54" t="b">
        <x:f>COUNTIF('BOM'!$A$4:$A$531,A306)&gt;0</x:f>
        <x:v>0</x:v>
      </x:c>
      <x:c r="F306" s="54" t="b">
        <x:f>COUNTIF('BOM'!$B$4:$B$531,A306)&gt;0</x:f>
        <x:v>1</x:v>
      </x:c>
      <x:c r="G306" s="54" t="str">
        <x:f>IF(COUNTIF($A$4:$A$431,A306)=1,"OK","DUPLICATE SKU")</x:f>
        <x:v>OK</x:v>
      </x:c>
      <x:c r="H306"/>
    </x:row>
    <x:row r="307">
      <x:c r="A307" s="54" t="str">
        <x:v>KIT-0035</x:v>
      </x:c>
      <x:c r="B307" s="54" t="str">
        <x:v>Surgeon's Instrument Chest</x:v>
      </x:c>
      <x:c r="C307" s="54" t="str">
        <x:v>SURGEON</x:v>
      </x:c>
      <x:c r="D307" s="67" t="str">
        <x:v>020171803040</x:v>
      </x:c>
      <x:c r="E307" s="54" t="b">
        <x:f>COUNTIF('BOM'!$A$4:$A$531,A307)&gt;0</x:f>
        <x:v>1</x:v>
      </x:c>
      <x:c r="F307" s="54" t="b">
        <x:f>COUNTIF('BOM'!$B$4:$B$531,A307)&gt;0</x:f>
        <x:v>1</x:v>
      </x:c>
      <x:c r="G307" s="54" t="str">
        <x:f>IF(COUNTIF($A$4:$A$431,A307)=1,"OK","DUPLICATE SKU")</x:f>
        <x:v>OK</x:v>
      </x:c>
      <x:c r="H307"/>
    </x:row>
    <x:row r="308">
      <x:c r="A308" s="54" t="str">
        <x:v>KIT-0036</x:v>
      </x:c>
      <x:c r="B308" s="54" t="str">
        <x:v>Medicines and Preparations Chest</x:v>
      </x:c>
      <x:c r="C308" s="54" t="str">
        <x:v>SURGEON</x:v>
      </x:c>
      <x:c r="D308" s="67" t="str">
        <x:v>020171803057</x:v>
      </x:c>
      <x:c r="E308" s="54" t="b">
        <x:f>COUNTIF('BOM'!$A$4:$A$531,A308)&gt;0</x:f>
        <x:v>1</x:v>
      </x:c>
      <x:c r="F308" s="54" t="b">
        <x:f>COUNTIF('BOM'!$B$4:$B$531,A308)&gt;0</x:f>
        <x:v>1</x:v>
      </x:c>
      <x:c r="G308" s="54" t="str">
        <x:f>IF(COUNTIF($A$4:$A$431,A308)=1,"OK","DUPLICATE SKU")</x:f>
        <x:v>OK</x:v>
      </x:c>
      <x:c r="H308"/>
    </x:row>
    <x:row r="309">
      <x:c r="A309" s="54" t="str">
        <x:v>KIT-0037</x:v>
      </x:c>
      <x:c r="B309" s="54" t="str">
        <x:v>Bandage and Dressing Chest</x:v>
      </x:c>
      <x:c r="C309" s="54" t="str">
        <x:v>SURGEON</x:v>
      </x:c>
      <x:c r="D309" s="67" t="str">
        <x:v>020171803064</x:v>
      </x:c>
      <x:c r="E309" s="54" t="b">
        <x:f>COUNTIF('BOM'!$A$4:$A$531,A309)&gt;0</x:f>
        <x:v>1</x:v>
      </x:c>
      <x:c r="F309" s="54" t="b">
        <x:f>COUNTIF('BOM'!$B$4:$B$531,A309)&gt;0</x:f>
        <x:v>1</x:v>
      </x:c>
      <x:c r="G309" s="54" t="str">
        <x:f>IF(COUNTIF($A$4:$A$431,A309)=1,"OK","DUPLICATE SKU")</x:f>
        <x:v>OK</x:v>
      </x:c>
      <x:c r="H309"/>
    </x:row>
    <x:row r="310">
      <x:c r="A310" s="54" t="str">
        <x:v>OFT-0020</x:v>
      </x:c>
      <x:c r="B310" s="54" t="str">
        <x:v>Sick-Bay Berthing Outfit</x:v>
      </x:c>
      <x:c r="C310" s="54" t="str">
        <x:v>SURGEON</x:v>
      </x:c>
      <x:c r="D310" s="67" t="str">
        <x:v>020171803071</x:v>
      </x:c>
      <x:c r="E310" s="54" t="b">
        <x:f>COUNTIF('BOM'!$A$4:$A$531,A310)&gt;0</x:f>
        <x:v>1</x:v>
      </x:c>
      <x:c r="F310" s="54" t="b">
        <x:f>COUNTIF('BOM'!$B$4:$B$531,A310)&gt;0</x:f>
        <x:v>1</x:v>
      </x:c>
      <x:c r="G310" s="54" t="str">
        <x:f>IF(COUNTIF($A$4:$A$431,A310)=1,"OK","DUPLICATE SKU")</x:f>
        <x:v>OK</x:v>
      </x:c>
      <x:c r="H310"/>
    </x:row>
    <x:row r="311">
      <x:c r="A311" s="54" t="str">
        <x:v>ASM-0039</x:v>
      </x:c>
      <x:c r="B311" s="54" t="str">
        <x:v>Mortar and Pestle</x:v>
      </x:c>
      <x:c r="C311" s="54" t="str">
        <x:v>SURGEON</x:v>
      </x:c>
      <x:c r="D311" s="67" t="str">
        <x:v>020171803088</x:v>
      </x:c>
      <x:c r="E311" s="54" t="b">
        <x:f>COUNTIF('BOM'!$A$4:$A$531,A311)&gt;0</x:f>
        <x:v>0</x:v>
      </x:c>
      <x:c r="F311" s="54" t="b">
        <x:f>COUNTIF('BOM'!$B$4:$B$531,A311)&gt;0</x:f>
        <x:v>1</x:v>
      </x:c>
      <x:c r="G311" s="54" t="str">
        <x:f>IF(COUNTIF($A$4:$A$431,A311)=1,"OK","DUPLICATE SKU")</x:f>
        <x:v>OK</x:v>
      </x:c>
      <x:c r="H311"/>
    </x:row>
    <x:row r="312">
      <x:c r="A312" s="54" t="str">
        <x:v>PRT-0129</x:v>
      </x:c>
      <x:c r="B312" s="54" t="str">
        <x:v>Pewter Urethral Syringe</x:v>
      </x:c>
      <x:c r="C312" s="54" t="str">
        <x:v>SURGEON</x:v>
      </x:c>
      <x:c r="D312" s="67" t="str">
        <x:v>020171803095</x:v>
      </x:c>
      <x:c r="E312" s="54" t="b">
        <x:f>COUNTIF('BOM'!$A$4:$A$531,A312)&gt;0</x:f>
        <x:v>0</x:v>
      </x:c>
      <x:c r="F312" s="54" t="b">
        <x:f>COUNTIF('BOM'!$B$4:$B$531,A312)&gt;0</x:f>
        <x:v>1</x:v>
      </x:c>
      <x:c r="G312" s="54" t="str">
        <x:f>IF(COUNTIF($A$4:$A$431,A312)=1,"OK","DUPLICATE SKU")</x:f>
        <x:v>OK</x:v>
      </x:c>
      <x:c r="H312"/>
    </x:row>
    <x:row r="313">
      <x:c r="A313" s="54" t="str">
        <x:v>PRT-0130</x:v>
      </x:c>
      <x:c r="B313" s="54" t="str">
        <x:v>Surgeon's Bone Saw</x:v>
      </x:c>
      <x:c r="C313" s="54" t="str">
        <x:v>SURGEON</x:v>
      </x:c>
      <x:c r="D313" s="67" t="str">
        <x:v>020171803101</x:v>
      </x:c>
      <x:c r="E313" s="54" t="b">
        <x:f>COUNTIF('BOM'!$A$4:$A$531,A313)&gt;0</x:f>
        <x:v>0</x:v>
      </x:c>
      <x:c r="F313" s="54" t="b">
        <x:f>COUNTIF('BOM'!$B$4:$B$531,A313)&gt;0</x:f>
        <x:v>1</x:v>
      </x:c>
      <x:c r="G313" s="54" t="str">
        <x:f>IF(COUNTIF($A$4:$A$431,A313)=1,"OK","DUPLICATE SKU")</x:f>
        <x:v>OK</x:v>
      </x:c>
      <x:c r="H313"/>
    </x:row>
    <x:row r="314">
      <x:c r="A314" s="54" t="str">
        <x:v>KIT-0038</x:v>
      </x:c>
      <x:c r="B314" s="54" t="str">
        <x:v>Lancet Set</x:v>
      </x:c>
      <x:c r="C314" s="54" t="str">
        <x:v>SURGEON</x:v>
      </x:c>
      <x:c r="D314" s="67" t="str">
        <x:v>020171803118</x:v>
      </x:c>
      <x:c r="E314" s="54" t="b">
        <x:f>COUNTIF('BOM'!$A$4:$A$531,A314)&gt;0</x:f>
        <x:v>0</x:v>
      </x:c>
      <x:c r="F314" s="54" t="b">
        <x:f>COUNTIF('BOM'!$B$4:$B$531,A314)&gt;0</x:f>
        <x:v>1</x:v>
      </x:c>
      <x:c r="G314" s="54" t="str">
        <x:f>IF(COUNTIF($A$4:$A$431,A314)=1,"OK","DUPLICATE SKU")</x:f>
        <x:v>OK</x:v>
      </x:c>
      <x:c r="H314"/>
    </x:row>
    <x:row r="315">
      <x:c r="A315" s="54" t="str">
        <x:v>PRT-0131</x:v>
      </x:c>
      <x:c r="B315" s="54" t="str">
        <x:v>Surgical Forceps</x:v>
      </x:c>
      <x:c r="C315" s="54" t="str">
        <x:v>SURGEON</x:v>
      </x:c>
      <x:c r="D315" s="67" t="str">
        <x:v>020171803125</x:v>
      </x:c>
      <x:c r="E315" s="54" t="b">
        <x:f>COUNTIF('BOM'!$A$4:$A$531,A315)&gt;0</x:f>
        <x:v>0</x:v>
      </x:c>
      <x:c r="F315" s="54" t="b">
        <x:f>COUNTIF('BOM'!$B$4:$B$531,A315)&gt;0</x:f>
        <x:v>1</x:v>
      </x:c>
      <x:c r="G315" s="54" t="str">
        <x:f>IF(COUNTIF($A$4:$A$431,A315)=1,"OK","DUPLICATE SKU")</x:f>
        <x:v>OK</x:v>
      </x:c>
      <x:c r="H315"/>
    </x:row>
    <x:row r="316">
      <x:c r="A316" s="54" t="str">
        <x:v>KIT-0039</x:v>
      </x:c>
      <x:c r="B316" s="54" t="str">
        <x:v>Probe and Director Set</x:v>
      </x:c>
      <x:c r="C316" s="54" t="str">
        <x:v>SURGEON</x:v>
      </x:c>
      <x:c r="D316" s="67" t="str">
        <x:v>020171803132</x:v>
      </x:c>
      <x:c r="E316" s="54" t="b">
        <x:f>COUNTIF('BOM'!$A$4:$A$531,A316)&gt;0</x:f>
        <x:v>0</x:v>
      </x:c>
      <x:c r="F316" s="54" t="b">
        <x:f>COUNTIF('BOM'!$B$4:$B$531,A316)&gt;0</x:f>
        <x:v>1</x:v>
      </x:c>
      <x:c r="G316" s="54" t="str">
        <x:f>IF(COUNTIF($A$4:$A$431,A316)=1,"OK","DUPLICATE SKU")</x:f>
        <x:v>OK</x:v>
      </x:c>
      <x:c r="H316"/>
    </x:row>
    <x:row r="317">
      <x:c r="A317" s="54" t="str">
        <x:v>PRT-0132</x:v>
      </x:c>
      <x:c r="B317" s="54" t="str">
        <x:v>Wooden Limb Splint</x:v>
      </x:c>
      <x:c r="C317" s="54" t="str">
        <x:v>SURGEON</x:v>
      </x:c>
      <x:c r="D317" s="67" t="str">
        <x:v>020171803149</x:v>
      </x:c>
      <x:c r="E317" s="54" t="b">
        <x:f>COUNTIF('BOM'!$A$4:$A$531,A317)&gt;0</x:f>
        <x:v>0</x:v>
      </x:c>
      <x:c r="F317" s="54" t="b">
        <x:f>COUNTIF('BOM'!$B$4:$B$531,A317)&gt;0</x:f>
        <x:v>1</x:v>
      </x:c>
      <x:c r="G317" s="54" t="str">
        <x:f>IF(COUNTIF($A$4:$A$431,A317)=1,"OK","DUPLICATE SKU")</x:f>
        <x:v>OK</x:v>
      </x:c>
      <x:c r="H317"/>
    </x:row>
    <x:row r="318">
      <x:c r="A318" s="54" t="str">
        <x:v>MAT-0020</x:v>
      </x:c>
      <x:c r="B318" s="54" t="str">
        <x:v>Linen Bandage Roll</x:v>
      </x:c>
      <x:c r="C318" s="54" t="str">
        <x:v>SURGEON</x:v>
      </x:c>
      <x:c r="D318" s="67" t="str">
        <x:v>020171803156</x:v>
      </x:c>
      <x:c r="E318" s="54" t="b">
        <x:f>COUNTIF('BOM'!$A$4:$A$531,A318)&gt;0</x:f>
        <x:v>0</x:v>
      </x:c>
      <x:c r="F318" s="54" t="b">
        <x:f>COUNTIF('BOM'!$B$4:$B$531,A318)&gt;0</x:f>
        <x:v>1</x:v>
      </x:c>
      <x:c r="G318" s="54" t="str">
        <x:f>IF(COUNTIF($A$4:$A$431,A318)=1,"OK","DUPLICATE SKU")</x:f>
        <x:v>OK</x:v>
      </x:c>
      <x:c r="H318"/>
    </x:row>
    <x:row r="319">
      <x:c r="A319" s="54" t="str">
        <x:v>MAT-0021</x:v>
      </x:c>
      <x:c r="B319" s="54" t="str">
        <x:v>Linen Lint Pack</x:v>
      </x:c>
      <x:c r="C319" s="54" t="str">
        <x:v>SURGEON</x:v>
      </x:c>
      <x:c r="D319" s="67" t="str">
        <x:v>020171803163</x:v>
      </x:c>
      <x:c r="E319" s="54" t="b">
        <x:f>COUNTIF('BOM'!$A$4:$A$531,A319)&gt;0</x:f>
        <x:v>0</x:v>
      </x:c>
      <x:c r="F319" s="54" t="b">
        <x:f>COUNTIF('BOM'!$B$4:$B$531,A319)&gt;0</x:f>
        <x:v>1</x:v>
      </x:c>
      <x:c r="G319" s="54" t="str">
        <x:f>IF(COUNTIF($A$4:$A$431,A319)=1,"OK","DUPLICATE SKU")</x:f>
        <x:v>OK</x:v>
      </x:c>
      <x:c r="H319"/>
    </x:row>
    <x:row r="320">
      <x:c r="A320" s="54" t="str">
        <x:v>PRT-0133</x:v>
      </x:c>
      <x:c r="B320" s="54" t="str">
        <x:v>Canvas Tourniquet</x:v>
      </x:c>
      <x:c r="C320" s="54" t="str">
        <x:v>SURGEON</x:v>
      </x:c>
      <x:c r="D320" s="67" t="str">
        <x:v>020171803170</x:v>
      </x:c>
      <x:c r="E320" s="54" t="b">
        <x:f>COUNTIF('BOM'!$A$4:$A$531,A320)&gt;0</x:f>
        <x:v>0</x:v>
      </x:c>
      <x:c r="F320" s="54" t="b">
        <x:f>COUNTIF('BOM'!$B$4:$B$531,A320)&gt;0</x:f>
        <x:v>1</x:v>
      </x:c>
      <x:c r="G320" s="54" t="str">
        <x:f>IF(COUNTIF($A$4:$A$431,A320)=1,"OK","DUPLICATE SKU")</x:f>
        <x:v>OK</x:v>
      </x:c>
      <x:c r="H320"/>
    </x:row>
    <x:row r="321">
      <x:c r="A321" s="54" t="str">
        <x:v>PKG-0007</x:v>
      </x:c>
      <x:c r="B321" s="54" t="str">
        <x:v>Stoppered Medicine Bottle</x:v>
      </x:c>
      <x:c r="C321" s="54" t="str">
        <x:v>GLASSWORKS</x:v>
      </x:c>
      <x:c r="D321" s="67" t="str">
        <x:v>020171803187</x:v>
      </x:c>
      <x:c r="E321" s="54" t="b">
        <x:f>COUNTIF('BOM'!$A$4:$A$531,A321)&gt;0</x:f>
        <x:v>0</x:v>
      </x:c>
      <x:c r="F321" s="54" t="b">
        <x:f>COUNTIF('BOM'!$B$4:$B$531,A321)&gt;0</x:f>
        <x:v>1</x:v>
      </x:c>
      <x:c r="G321" s="54" t="str">
        <x:f>IF(COUNTIF($A$4:$A$431,A321)=1,"OK","DUPLICATE SKU")</x:f>
        <x:v>OK</x:v>
      </x:c>
      <x:c r="H321"/>
    </x:row>
    <x:row r="322">
      <x:c r="A322" s="54" t="str">
        <x:v>PKG-0008</x:v>
      </x:c>
      <x:c r="B322" s="54" t="str">
        <x:v>Glazed Ointment Jar</x:v>
      </x:c>
      <x:c r="C322" s="54" t="str">
        <x:v>POTTERY</x:v>
      </x:c>
      <x:c r="D322" s="67" t="str">
        <x:v>020171803194</x:v>
      </x:c>
      <x:c r="E322" s="54" t="b">
        <x:f>COUNTIF('BOM'!$A$4:$A$531,A322)&gt;0</x:f>
        <x:v>0</x:v>
      </x:c>
      <x:c r="F322" s="54" t="b">
        <x:f>COUNTIF('BOM'!$B$4:$B$531,A322)&gt;0</x:f>
        <x:v>1</x:v>
      </x:c>
      <x:c r="G322" s="54" t="str">
        <x:f>IF(COUNTIF($A$4:$A$431,A322)=1,"OK","DUPLICATE SKU")</x:f>
        <x:v>OK</x:v>
      </x:c>
      <x:c r="H322"/>
    </x:row>
    <x:row r="323">
      <x:c r="A323" s="54" t="str">
        <x:v>MAT-0022</x:v>
      </x:c>
      <x:c r="B323" s="54" t="str">
        <x:v>Laudanum Bottle</x:v>
      </x:c>
      <x:c r="C323" s="54" t="str">
        <x:v>APOTHECARY</x:v>
      </x:c>
      <x:c r="D323" s="67" t="str">
        <x:v>020171803200</x:v>
      </x:c>
      <x:c r="E323" s="54" t="b">
        <x:f>COUNTIF('BOM'!$A$4:$A$531,A323)&gt;0</x:f>
        <x:v>0</x:v>
      </x:c>
      <x:c r="F323" s="54" t="b">
        <x:f>COUNTIF('BOM'!$B$4:$B$531,A323)&gt;0</x:f>
        <x:v>1</x:v>
      </x:c>
      <x:c r="G323" s="54" t="str">
        <x:f>IF(COUNTIF($A$4:$A$431,A323)=1,"OK","DUPLICATE SKU")</x:f>
        <x:v>OK</x:v>
      </x:c>
      <x:c r="H323"/>
    </x:row>
    <x:row r="324">
      <x:c r="A324" s="54" t="str">
        <x:v>MAT-0023</x:v>
      </x:c>
      <x:c r="B324" s="54" t="str">
        <x:v>Peruvian Bark Jar</x:v>
      </x:c>
      <x:c r="C324" s="54" t="str">
        <x:v>APOTHECARY</x:v>
      </x:c>
      <x:c r="D324" s="67" t="str">
        <x:v>020171803217</x:v>
      </x:c>
      <x:c r="E324" s="54" t="b">
        <x:f>COUNTIF('BOM'!$A$4:$A$531,A324)&gt;0</x:f>
        <x:v>0</x:v>
      </x:c>
      <x:c r="F324" s="54" t="b">
        <x:f>COUNTIF('BOM'!$B$4:$B$531,A324)&gt;0</x:f>
        <x:v>1</x:v>
      </x:c>
      <x:c r="G324" s="54" t="str">
        <x:f>IF(COUNTIF($A$4:$A$431,A324)=1,"OK","DUPLICATE SKU")</x:f>
        <x:v>OK</x:v>
      </x:c>
      <x:c r="H324"/>
    </x:row>
    <x:row r="325">
      <x:c r="A325" s="54" t="str">
        <x:v>MAT-0024</x:v>
      </x:c>
      <x:c r="B325" s="54" t="str">
        <x:v>Mercury Preparation Jar</x:v>
      </x:c>
      <x:c r="C325" s="54" t="str">
        <x:v>APOTHECARY</x:v>
      </x:c>
      <x:c r="D325" s="67" t="str">
        <x:v>020171803224</x:v>
      </x:c>
      <x:c r="E325" s="54" t="b">
        <x:f>COUNTIF('BOM'!$A$4:$A$531,A325)&gt;0</x:f>
        <x:v>0</x:v>
      </x:c>
      <x:c r="F325" s="54" t="b">
        <x:f>COUNTIF('BOM'!$B$4:$B$531,A325)&gt;0</x:f>
        <x:v>1</x:v>
      </x:c>
      <x:c r="G325" s="54" t="str">
        <x:f>IF(COUNTIF($A$4:$A$431,A325)=1,"OK","DUPLICATE SKU")</x:f>
        <x:v>OK</x:v>
      </x:c>
      <x:c r="H325"/>
    </x:row>
    <x:row r="326">
      <x:c r="A326" s="54" t="str">
        <x:v>MAT-0025</x:v>
      </x:c>
      <x:c r="B326" s="54" t="str">
        <x:v>Medicinal Vinegar Bottle</x:v>
      </x:c>
      <x:c r="C326" s="54" t="str">
        <x:v>APOTHECARY</x:v>
      </x:c>
      <x:c r="D326" s="67" t="str">
        <x:v>020171803231</x:v>
      </x:c>
      <x:c r="E326" s="54" t="b">
        <x:f>COUNTIF('BOM'!$A$4:$A$531,A326)&gt;0</x:f>
        <x:v>0</x:v>
      </x:c>
      <x:c r="F326" s="54" t="b">
        <x:f>COUNTIF('BOM'!$B$4:$B$531,A326)&gt;0</x:f>
        <x:v>1</x:v>
      </x:c>
      <x:c r="G326" s="54" t="str">
        <x:f>IF(COUNTIF($A$4:$A$431,A326)=1,"OK","DUPLICATE SKU")</x:f>
        <x:v>OK</x:v>
      </x:c>
      <x:c r="H326"/>
    </x:row>
    <x:row r="327">
      <x:c r="A327" s="54" t="str">
        <x:v>ASM-0040</x:v>
      </x:c>
      <x:c r="B327" s="54" t="str">
        <x:v>Sick-Bay Hammock</x:v>
      </x:c>
      <x:c r="C327" s="54" t="str">
        <x:v>SAILLOFT</x:v>
      </x:c>
      <x:c r="D327" s="67" t="str">
        <x:v>020171803248</x:v>
      </x:c>
      <x:c r="E327" s="54" t="b">
        <x:f>COUNTIF('BOM'!$A$4:$A$531,A327)&gt;0</x:f>
        <x:v>0</x:v>
      </x:c>
      <x:c r="F327" s="54" t="b">
        <x:f>COUNTIF('BOM'!$B$4:$B$531,A327)&gt;0</x:f>
        <x:v>1</x:v>
      </x:c>
      <x:c r="G327" s="54" t="str">
        <x:f>IF(COUNTIF($A$4:$A$431,A327)=1,"OK","DUPLICATE SKU")</x:f>
        <x:v>OK</x:v>
      </x:c>
      <x:c r="H327"/>
    </x:row>
    <x:row r="328">
      <x:c r="A328" s="54" t="str">
        <x:v>PRT-0134</x:v>
      </x:c>
      <x:c r="B328" s="54" t="str">
        <x:v>Sick-Bay Wool Blanket</x:v>
      </x:c>
      <x:c r="C328" s="54" t="str">
        <x:v>TEXTILES</x:v>
      </x:c>
      <x:c r="D328" s="67" t="str">
        <x:v>020171803255</x:v>
      </x:c>
      <x:c r="E328" s="54" t="b">
        <x:f>COUNTIF('BOM'!$A$4:$A$531,A328)&gt;0</x:f>
        <x:v>0</x:v>
      </x:c>
      <x:c r="F328" s="54" t="b">
        <x:f>COUNTIF('BOM'!$B$4:$B$531,A328)&gt;0</x:f>
        <x:v>1</x:v>
      </x:c>
      <x:c r="G328" s="54" t="str">
        <x:f>IF(COUNTIF($A$4:$A$431,A328)=1,"OK","DUPLICATE SKU")</x:f>
        <x:v>OK</x:v>
      </x:c>
      <x:c r="H328"/>
    </x:row>
    <x:row r="329">
      <x:c r="A329" s="54" t="str">
        <x:v>LBL-0006</x:v>
      </x:c>
      <x:c r="B329" s="54" t="str">
        <x:v>Safety Label - Medical Chest / Controlled Access</x:v>
      </x:c>
      <x:c r="C329" s="54" t="str">
        <x:v>LABELSHOP</x:v>
      </x:c>
      <x:c r="D329" s="67" t="str">
        <x:v>020171803262</x:v>
      </x:c>
      <x:c r="E329" s="54" t="b">
        <x:f>COUNTIF('BOM'!$A$4:$A$531,A329)&gt;0</x:f>
        <x:v>0</x:v>
      </x:c>
      <x:c r="F329" s="54" t="b">
        <x:f>COUNTIF('BOM'!$B$4:$B$531,A329)&gt;0</x:f>
        <x:v>1</x:v>
      </x:c>
      <x:c r="G329" s="54" t="str">
        <x:f>IF(COUNTIF($A$4:$A$431,A329)=1,"OK","DUPLICATE SKU")</x:f>
        <x:v>OK</x:v>
      </x:c>
      <x:c r="H329"/>
    </x:row>
    <x:row r="330">
      <x:c r="A330" s="54" t="str">
        <x:v>ASM-0041</x:v>
      </x:c>
      <x:c r="B330" s="54" t="str">
        <x:v>Brick and Iron Galley Hearth</x:v>
      </x:c>
      <x:c r="C330" s="54" t="str">
        <x:v>GALLEY</x:v>
      </x:c>
      <x:c r="D330" s="67" t="str">
        <x:v>020171803279</x:v>
      </x:c>
      <x:c r="E330" s="54" t="b">
        <x:f>COUNTIF('BOM'!$A$4:$A$531,A330)&gt;0</x:f>
        <x:v>0</x:v>
      </x:c>
      <x:c r="F330" s="54" t="b">
        <x:f>COUNTIF('BOM'!$B$4:$B$531,A330)&gt;0</x:f>
        <x:v>1</x:v>
      </x:c>
      <x:c r="G330" s="54" t="str">
        <x:f>IF(COUNTIF($A$4:$A$431,A330)=1,"OK","DUPLICATE SKU")</x:f>
        <x:v>OK</x:v>
      </x:c>
      <x:c r="H330"/>
    </x:row>
    <x:row r="331">
      <x:c r="A331" s="54" t="str">
        <x:v>OFT-0021</x:v>
      </x:c>
      <x:c r="B331" s="54" t="str">
        <x:v>Galley Cookware Outfit</x:v>
      </x:c>
      <x:c r="C331" s="54" t="str">
        <x:v>GALLEY</x:v>
      </x:c>
      <x:c r="D331" s="67" t="str">
        <x:v>020171803286</x:v>
      </x:c>
      <x:c r="E331" s="54" t="b">
        <x:f>COUNTIF('BOM'!$A$4:$A$531,A331)&gt;0</x:f>
        <x:v>1</x:v>
      </x:c>
      <x:c r="F331" s="54" t="b">
        <x:f>COUNTIF('BOM'!$B$4:$B$531,A331)&gt;0</x:f>
        <x:v>1</x:v>
      </x:c>
      <x:c r="G331" s="54" t="str">
        <x:f>IF(COUNTIF($A$4:$A$431,A331)=1,"OK","DUPLICATE SKU")</x:f>
        <x:v>OK</x:v>
      </x:c>
      <x:c r="H331"/>
    </x:row>
    <x:row r="332">
      <x:c r="A332" s="54" t="str">
        <x:v>KIT-0040</x:v>
      </x:c>
      <x:c r="B332" s="54" t="str">
        <x:v>Six-Person Common Mess Kit</x:v>
      </x:c>
      <x:c r="C332" s="54" t="str">
        <x:v>GALLEY</x:v>
      </x:c>
      <x:c r="D332" s="67" t="str">
        <x:v>020171803293</x:v>
      </x:c>
      <x:c r="E332" s="54" t="b">
        <x:f>COUNTIF('BOM'!$A$4:$A$531,A332)&gt;0</x:f>
        <x:v>1</x:v>
      </x:c>
      <x:c r="F332" s="54" t="b">
        <x:f>COUNTIF('BOM'!$B$4:$B$531,A332)&gt;0</x:f>
        <x:v>1</x:v>
      </x:c>
      <x:c r="G332" s="54" t="str">
        <x:f>IF(COUNTIF($A$4:$A$431,A332)=1,"OK","DUPLICATE SKU")</x:f>
        <x:v>OK</x:v>
      </x:c>
      <x:c r="H332"/>
    </x:row>
    <x:row r="333">
      <x:c r="A333" s="54" t="str">
        <x:v>KIT-0041</x:v>
      </x:c>
      <x:c r="B333" s="54" t="str">
        <x:v>Six-Person Officer Mess Kit</x:v>
      </x:c>
      <x:c r="C333" s="54" t="str">
        <x:v>GALLEY</x:v>
      </x:c>
      <x:c r="D333" s="67" t="str">
        <x:v>020171803309</x:v>
      </x:c>
      <x:c r="E333" s="54" t="b">
        <x:f>COUNTIF('BOM'!$A$4:$A$531,A333)&gt;0</x:f>
        <x:v>1</x:v>
      </x:c>
      <x:c r="F333" s="54" t="b">
        <x:f>COUNTIF('BOM'!$B$4:$B$531,A333)&gt;0</x:f>
        <x:v>1</x:v>
      </x:c>
      <x:c r="G333" s="54" t="str">
        <x:f>IF(COUNTIF($A$4:$A$431,A333)=1,"OK","DUPLICATE SKU")</x:f>
        <x:v>OK</x:v>
      </x:c>
      <x:c r="H333"/>
    </x:row>
    <x:row r="334">
      <x:c r="A334" s="54" t="str">
        <x:v>OFT-0022</x:v>
      </x:c>
      <x:c r="B334" s="54" t="str">
        <x:v>Drinking Water Service Outfit</x:v>
      </x:c>
      <x:c r="C334" s="54" t="str">
        <x:v>GALLEY</x:v>
      </x:c>
      <x:c r="D334" s="67" t="str">
        <x:v>020171803316</x:v>
      </x:c>
      <x:c r="E334" s="54" t="b">
        <x:f>COUNTIF('BOM'!$A$4:$A$531,A334)&gt;0</x:f>
        <x:v>1</x:v>
      </x:c>
      <x:c r="F334" s="54" t="b">
        <x:f>COUNTIF('BOM'!$B$4:$B$531,A334)&gt;0</x:f>
        <x:v>1</x:v>
      </x:c>
      <x:c r="G334" s="54" t="str">
        <x:f>IF(COUNTIF($A$4:$A$431,A334)=1,"OK","DUPLICATE SKU")</x:f>
        <x:v>OK</x:v>
      </x:c>
      <x:c r="H334"/>
    </x:row>
    <x:row r="335">
      <x:c r="A335" s="54" t="str">
        <x:v>PRT-0135</x:v>
      </x:c>
      <x:c r="B335" s="54" t="str">
        <x:v>Large Iron Cauldron</x:v>
      </x:c>
      <x:c r="C335" s="54" t="str">
        <x:v>GALLEY</x:v>
      </x:c>
      <x:c r="D335" s="67" t="str">
        <x:v>020171803323</x:v>
      </x:c>
      <x:c r="E335" s="54" t="b">
        <x:f>COUNTIF('BOM'!$A$4:$A$531,A335)&gt;0</x:f>
        <x:v>0</x:v>
      </x:c>
      <x:c r="F335" s="54" t="b">
        <x:f>COUNTIF('BOM'!$B$4:$B$531,A335)&gt;0</x:f>
        <x:v>1</x:v>
      </x:c>
      <x:c r="G335" s="54" t="str">
        <x:f>IF(COUNTIF($A$4:$A$431,A335)=1,"OK","DUPLICATE SKU")</x:f>
        <x:v>OK</x:v>
      </x:c>
      <x:c r="H335"/>
    </x:row>
    <x:row r="336">
      <x:c r="A336" s="54" t="str">
        <x:v>PRT-0136</x:v>
      </x:c>
      <x:c r="B336" s="54" t="str">
        <x:v>Copper Kettle</x:v>
      </x:c>
      <x:c r="C336" s="54" t="str">
        <x:v>GALLEY</x:v>
      </x:c>
      <x:c r="D336" s="67" t="str">
        <x:v>020171803330</x:v>
      </x:c>
      <x:c r="E336" s="54" t="b">
        <x:f>COUNTIF('BOM'!$A$4:$A$531,A336)&gt;0</x:f>
        <x:v>0</x:v>
      </x:c>
      <x:c r="F336" s="54" t="b">
        <x:f>COUNTIF('BOM'!$B$4:$B$531,A336)&gt;0</x:f>
        <x:v>1</x:v>
      </x:c>
      <x:c r="G336" s="54" t="str">
        <x:f>IF(COUNTIF($A$4:$A$431,A336)=1,"OK","DUPLICATE SKU")</x:f>
        <x:v>OK</x:v>
      </x:c>
      <x:c r="H336"/>
    </x:row>
    <x:row r="337">
      <x:c r="A337" s="54" t="str">
        <x:v>PRT-0137</x:v>
      </x:c>
      <x:c r="B337" s="54" t="str">
        <x:v>Copper Cooking Pot</x:v>
      </x:c>
      <x:c r="C337" s="54" t="str">
        <x:v>GALLEY</x:v>
      </x:c>
      <x:c r="D337" s="67" t="str">
        <x:v>020171803347</x:v>
      </x:c>
      <x:c r="E337" s="54" t="b">
        <x:f>COUNTIF('BOM'!$A$4:$A$531,A337)&gt;0</x:f>
        <x:v>0</x:v>
      </x:c>
      <x:c r="F337" s="54" t="b">
        <x:f>COUNTIF('BOM'!$B$4:$B$531,A337)&gt;0</x:f>
        <x:v>1</x:v>
      </x:c>
      <x:c r="G337" s="54" t="str">
        <x:f>IF(COUNTIF($A$4:$A$431,A337)=1,"OK","DUPLICATE SKU")</x:f>
        <x:v>OK</x:v>
      </x:c>
      <x:c r="H337"/>
    </x:row>
    <x:row r="338">
      <x:c r="A338" s="54" t="str">
        <x:v>PRT-0138</x:v>
      </x:c>
      <x:c r="B338" s="54" t="str">
        <x:v>Iron Frying Pan</x:v>
      </x:c>
      <x:c r="C338" s="54" t="str">
        <x:v>GALLEY</x:v>
      </x:c>
      <x:c r="D338" s="67" t="str">
        <x:v>020171803354</x:v>
      </x:c>
      <x:c r="E338" s="54" t="b">
        <x:f>COUNTIF('BOM'!$A$4:$A$531,A338)&gt;0</x:f>
        <x:v>0</x:v>
      </x:c>
      <x:c r="F338" s="54" t="b">
        <x:f>COUNTIF('BOM'!$B$4:$B$531,A338)&gt;0</x:f>
        <x:v>1</x:v>
      </x:c>
      <x:c r="G338" s="54" t="str">
        <x:f>IF(COUNTIF($A$4:$A$431,A338)=1,"OK","DUPLICATE SKU")</x:f>
        <x:v>OK</x:v>
      </x:c>
      <x:c r="H338"/>
    </x:row>
    <x:row r="339">
      <x:c r="A339" s="54" t="str">
        <x:v>PRT-0139</x:v>
      </x:c>
      <x:c r="B339" s="54" t="str">
        <x:v>Long-Handled Galley Ladle</x:v>
      </x:c>
      <x:c r="C339" s="54" t="str">
        <x:v>GALLEY</x:v>
      </x:c>
      <x:c r="D339" s="67" t="str">
        <x:v>020171803361</x:v>
      </x:c>
      <x:c r="E339" s="54" t="b">
        <x:f>COUNTIF('BOM'!$A$4:$A$531,A339)&gt;0</x:f>
        <x:v>0</x:v>
      </x:c>
      <x:c r="F339" s="54" t="b">
        <x:f>COUNTIF('BOM'!$B$4:$B$531,A339)&gt;0</x:f>
        <x:v>1</x:v>
      </x:c>
      <x:c r="G339" s="54" t="str">
        <x:f>IF(COUNTIF($A$4:$A$431,A339)=1,"OK","DUPLICATE SKU")</x:f>
        <x:v>OK</x:v>
      </x:c>
      <x:c r="H339"/>
    </x:row>
    <x:row r="340">
      <x:c r="A340" s="54" t="str">
        <x:v>PRT-0140</x:v>
      </x:c>
      <x:c r="B340" s="54" t="str">
        <x:v>Cook's Knife</x:v>
      </x:c>
      <x:c r="C340" s="54" t="str">
        <x:v>GALLEY</x:v>
      </x:c>
      <x:c r="D340" s="67" t="str">
        <x:v>020171803378</x:v>
      </x:c>
      <x:c r="E340" s="54" t="b">
        <x:f>COUNTIF('BOM'!$A$4:$A$531,A340)&gt;0</x:f>
        <x:v>0</x:v>
      </x:c>
      <x:c r="F340" s="54" t="b">
        <x:f>COUNTIF('BOM'!$B$4:$B$531,A340)&gt;0</x:f>
        <x:v>1</x:v>
      </x:c>
      <x:c r="G340" s="54" t="str">
        <x:f>IF(COUNTIF($A$4:$A$431,A340)=1,"OK","DUPLICATE SKU")</x:f>
        <x:v>OK</x:v>
      </x:c>
      <x:c r="H340"/>
    </x:row>
    <x:row r="341">
      <x:c r="A341" s="54" t="str">
        <x:v>PRT-0141</x:v>
      </x:c>
      <x:c r="B341" s="54" t="str">
        <x:v>Galley Cleaver</x:v>
      </x:c>
      <x:c r="C341" s="54" t="str">
        <x:v>GALLEY</x:v>
      </x:c>
      <x:c r="D341" s="67" t="str">
        <x:v>020171803385</x:v>
      </x:c>
      <x:c r="E341" s="54" t="b">
        <x:f>COUNTIF('BOM'!$A$4:$A$531,A341)&gt;0</x:f>
        <x:v>0</x:v>
      </x:c>
      <x:c r="F341" s="54" t="b">
        <x:f>COUNTIF('BOM'!$B$4:$B$531,A341)&gt;0</x:f>
        <x:v>1</x:v>
      </x:c>
      <x:c r="G341" s="54" t="str">
        <x:f>IF(COUNTIF($A$4:$A$431,A341)=1,"OK","DUPLICATE SKU")</x:f>
        <x:v>OK</x:v>
      </x:c>
      <x:c r="H341"/>
    </x:row>
    <x:row r="342">
      <x:c r="A342" s="54" t="str">
        <x:v>PRT-0142</x:v>
      </x:c>
      <x:c r="B342" s="54" t="str">
        <x:v>Pewter Plate</x:v>
      </x:c>
      <x:c r="C342" s="54" t="str">
        <x:v>PEWTERER</x:v>
      </x:c>
      <x:c r="D342" s="67" t="str">
        <x:v>020171803392</x:v>
      </x:c>
      <x:c r="E342" s="54" t="b">
        <x:f>COUNTIF('BOM'!$A$4:$A$531,A342)&gt;0</x:f>
        <x:v>0</x:v>
      </x:c>
      <x:c r="F342" s="54" t="b">
        <x:f>COUNTIF('BOM'!$B$4:$B$531,A342)&gt;0</x:f>
        <x:v>1</x:v>
      </x:c>
      <x:c r="G342" s="54" t="str">
        <x:f>IF(COUNTIF($A$4:$A$431,A342)=1,"OK","DUPLICATE SKU")</x:f>
        <x:v>OK</x:v>
      </x:c>
      <x:c r="H342"/>
    </x:row>
    <x:row r="343">
      <x:c r="A343" s="54" t="str">
        <x:v>PRT-0143</x:v>
      </x:c>
      <x:c r="B343" s="54" t="str">
        <x:v>Pewter Bowl</x:v>
      </x:c>
      <x:c r="C343" s="54" t="str">
        <x:v>PEWTERER</x:v>
      </x:c>
      <x:c r="D343" s="67" t="str">
        <x:v>020171803408</x:v>
      </x:c>
      <x:c r="E343" s="54" t="b">
        <x:f>COUNTIF('BOM'!$A$4:$A$531,A343)&gt;0</x:f>
        <x:v>0</x:v>
      </x:c>
      <x:c r="F343" s="54" t="b">
        <x:f>COUNTIF('BOM'!$B$4:$B$531,A343)&gt;0</x:f>
        <x:v>1</x:v>
      </x:c>
      <x:c r="G343" s="54" t="str">
        <x:f>IF(COUNTIF($A$4:$A$431,A343)=1,"OK","DUPLICATE SKU")</x:f>
        <x:v>OK</x:v>
      </x:c>
      <x:c r="H343"/>
    </x:row>
    <x:row r="344">
      <x:c r="A344" s="54" t="str">
        <x:v>PRT-0144</x:v>
      </x:c>
      <x:c r="B344" s="54" t="str">
        <x:v>Pewter Spoon</x:v>
      </x:c>
      <x:c r="C344" s="54" t="str">
        <x:v>PEWTERER</x:v>
      </x:c>
      <x:c r="D344" s="67" t="str">
        <x:v>020171803415</x:v>
      </x:c>
      <x:c r="E344" s="54" t="b">
        <x:f>COUNTIF('BOM'!$A$4:$A$531,A344)&gt;0</x:f>
        <x:v>0</x:v>
      </x:c>
      <x:c r="F344" s="54" t="b">
        <x:f>COUNTIF('BOM'!$B$4:$B$531,A344)&gt;0</x:f>
        <x:v>1</x:v>
      </x:c>
      <x:c r="G344" s="54" t="str">
        <x:f>IF(COUNTIF($A$4:$A$431,A344)=1,"OK","DUPLICATE SKU")</x:f>
        <x:v>OK</x:v>
      </x:c>
      <x:c r="H344"/>
    </x:row>
    <x:row r="345">
      <x:c r="A345" s="54" t="str">
        <x:v>PRT-0145</x:v>
      </x:c>
      <x:c r="B345" s="54" t="str">
        <x:v>Wooden Drinking Mug</x:v>
      </x:c>
      <x:c r="C345" s="54" t="str">
        <x:v>COOPER</x:v>
      </x:c>
      <x:c r="D345" s="67" t="str">
        <x:v>020171803422</x:v>
      </x:c>
      <x:c r="E345" s="54" t="b">
        <x:f>COUNTIF('BOM'!$A$4:$A$531,A345)&gt;0</x:f>
        <x:v>0</x:v>
      </x:c>
      <x:c r="F345" s="54" t="b">
        <x:f>COUNTIF('BOM'!$B$4:$B$531,A345)&gt;0</x:f>
        <x:v>1</x:v>
      </x:c>
      <x:c r="G345" s="54" t="str">
        <x:f>IF(COUNTIF($A$4:$A$431,A345)=1,"OK","DUPLICATE SKU")</x:f>
        <x:v>OK</x:v>
      </x:c>
      <x:c r="H345"/>
    </x:row>
    <x:row r="346">
      <x:c r="A346" s="54" t="str">
        <x:v>PRT-0146</x:v>
      </x:c>
      <x:c r="B346" s="54" t="str">
        <x:v>Common Mess Knife</x:v>
      </x:c>
      <x:c r="C346" s="54" t="str">
        <x:v>CUTLER</x:v>
      </x:c>
      <x:c r="D346" s="67" t="str">
        <x:v>020171803439</x:v>
      </x:c>
      <x:c r="E346" s="54" t="b">
        <x:f>COUNTIF('BOM'!$A$4:$A$531,A346)&gt;0</x:f>
        <x:v>0</x:v>
      </x:c>
      <x:c r="F346" s="54" t="b">
        <x:f>COUNTIF('BOM'!$B$4:$B$531,A346)&gt;0</x:f>
        <x:v>1</x:v>
      </x:c>
      <x:c r="G346" s="54" t="str">
        <x:f>IF(COUNTIF($A$4:$A$431,A346)=1,"OK","DUPLICATE SKU")</x:f>
        <x:v>OK</x:v>
      </x:c>
      <x:c r="H346"/>
    </x:row>
    <x:row r="347">
      <x:c r="A347" s="54" t="str">
        <x:v>PRT-0147</x:v>
      </x:c>
      <x:c r="B347" s="54" t="str">
        <x:v>Large Pewter Charger</x:v>
      </x:c>
      <x:c r="C347" s="54" t="str">
        <x:v>PEWTERER</x:v>
      </x:c>
      <x:c r="D347" s="67" t="str">
        <x:v>020171803446</x:v>
      </x:c>
      <x:c r="E347" s="54" t="b">
        <x:f>COUNTIF('BOM'!$A$4:$A$531,A347)&gt;0</x:f>
        <x:v>0</x:v>
      </x:c>
      <x:c r="F347" s="54" t="b">
        <x:f>COUNTIF('BOM'!$B$4:$B$531,A347)&gt;0</x:f>
        <x:v>1</x:v>
      </x:c>
      <x:c r="G347" s="54" t="str">
        <x:f>IF(COUNTIF($A$4:$A$431,A347)=1,"OK","DUPLICATE SKU")</x:f>
        <x:v>OK</x:v>
      </x:c>
      <x:c r="H347"/>
    </x:row>
    <x:row r="348">
      <x:c r="A348" s="54" t="str">
        <x:v>PRT-0148</x:v>
      </x:c>
      <x:c r="B348" s="54" t="str">
        <x:v>Officer's Wine Glass</x:v>
      </x:c>
      <x:c r="C348" s="54" t="str">
        <x:v>GLASSWORKS</x:v>
      </x:c>
      <x:c r="D348" s="67" t="str">
        <x:v>020171803453</x:v>
      </x:c>
      <x:c r="E348" s="54" t="b">
        <x:f>COUNTIF('BOM'!$A$4:$A$531,A348)&gt;0</x:f>
        <x:v>0</x:v>
      </x:c>
      <x:c r="F348" s="54" t="b">
        <x:f>COUNTIF('BOM'!$B$4:$B$531,A348)&gt;0</x:f>
        <x:v>1</x:v>
      </x:c>
      <x:c r="G348" s="54" t="str">
        <x:f>IF(COUNTIF($A$4:$A$431,A348)=1,"OK","DUPLICATE SKU")</x:f>
        <x:v>OK</x:v>
      </x:c>
      <x:c r="H348"/>
    </x:row>
    <x:row r="349">
      <x:c r="A349" s="54" t="str">
        <x:v>PRT-0149</x:v>
      </x:c>
      <x:c r="B349" s="54" t="str">
        <x:v>Water Cask Dipper</x:v>
      </x:c>
      <x:c r="C349" s="54" t="str">
        <x:v>GALLEY</x:v>
      </x:c>
      <x:c r="D349" s="67" t="str">
        <x:v>020171803460</x:v>
      </x:c>
      <x:c r="E349" s="54" t="b">
        <x:f>COUNTIF('BOM'!$A$4:$A$531,A349)&gt;0</x:f>
        <x:v>0</x:v>
      </x:c>
      <x:c r="F349" s="54" t="b">
        <x:f>COUNTIF('BOM'!$B$4:$B$531,A349)&gt;0</x:f>
        <x:v>1</x:v>
      </x:c>
      <x:c r="G349" s="54" t="str">
        <x:f>IF(COUNTIF($A$4:$A$431,A349)=1,"OK","DUPLICATE SKU")</x:f>
        <x:v>OK</x:v>
      </x:c>
      <x:c r="H349"/>
    </x:row>
    <x:row r="350">
      <x:c r="A350" s="54" t="str">
        <x:v>PRT-0150</x:v>
      </x:c>
      <x:c r="B350" s="54" t="str">
        <x:v>Drinking Water Bucket</x:v>
      </x:c>
      <x:c r="C350" s="54" t="str">
        <x:v>GALLEY</x:v>
      </x:c>
      <x:c r="D350" s="67" t="str">
        <x:v>020171803477</x:v>
      </x:c>
      <x:c r="E350" s="54" t="b">
        <x:f>COUNTIF('BOM'!$A$4:$A$531,A350)&gt;0</x:f>
        <x:v>0</x:v>
      </x:c>
      <x:c r="F350" s="54" t="b">
        <x:f>COUNTIF('BOM'!$B$4:$B$531,A350)&gt;0</x:f>
        <x:v>1</x:v>
      </x:c>
      <x:c r="G350" s="54" t="str">
        <x:f>IF(COUNTIF($A$4:$A$431,A350)=1,"OK","DUPLICATE SKU")</x:f>
        <x:v>OK</x:v>
      </x:c>
      <x:c r="H350"/>
    </x:row>
    <x:row r="351">
      <x:c r="A351" s="54" t="str">
        <x:v>PKG-0009</x:v>
      </x:c>
      <x:c r="B351" s="54" t="str">
        <x:v>Oak Cask, 50 gal Capacity</x:v>
      </x:c>
      <x:c r="C351" s="54" t="str">
        <x:v>COOPER</x:v>
      </x:c>
      <x:c r="D351" s="67" t="str">
        <x:v>020171803484</x:v>
      </x:c>
      <x:c r="E351" s="54" t="b">
        <x:f>COUNTIF('BOM'!$A$4:$A$531,A351)&gt;0</x:f>
        <x:v>0</x:v>
      </x:c>
      <x:c r="F351" s="54" t="b">
        <x:f>COUNTIF('BOM'!$B$4:$B$531,A351)&gt;0</x:f>
        <x:v>1</x:v>
      </x:c>
      <x:c r="G351" s="54" t="str">
        <x:f>IF(COUNTIF($A$4:$A$431,A351)=1,"OK","DUPLICATE SKU")</x:f>
        <x:v>OK</x:v>
      </x:c>
      <x:c r="H351"/>
    </x:row>
    <x:row r="352">
      <x:c r="A352" s="54" t="str">
        <x:v>PKG-0010</x:v>
      </x:c>
      <x:c r="B352" s="54" t="str">
        <x:v>Oak Provision Barrel, 200 lb Capacity</x:v>
      </x:c>
      <x:c r="C352" s="54" t="str">
        <x:v>COOPER</x:v>
      </x:c>
      <x:c r="D352" s="67" t="str">
        <x:v>020171803491</x:v>
      </x:c>
      <x:c r="E352" s="54" t="b">
        <x:f>COUNTIF('BOM'!$A$4:$A$531,A352)&gt;0</x:f>
        <x:v>0</x:v>
      </x:c>
      <x:c r="F352" s="54" t="b">
        <x:f>COUNTIF('BOM'!$B$4:$B$531,A352)&gt;0</x:f>
        <x:v>1</x:v>
      </x:c>
      <x:c r="G352" s="54" t="str">
        <x:f>IF(COUNTIF($A$4:$A$431,A352)=1,"OK","DUPLICATE SKU")</x:f>
        <x:v>OK</x:v>
      </x:c>
      <x:c r="H352"/>
    </x:row>
    <x:row r="353">
      <x:c r="A353" s="54" t="str">
        <x:v>PKG-0011</x:v>
      </x:c>
      <x:c r="B353" s="54" t="str">
        <x:v>Oak Cask, 25 gal Capacity</x:v>
      </x:c>
      <x:c r="C353" s="54" t="str">
        <x:v>COOPER</x:v>
      </x:c>
      <x:c r="D353" s="67" t="str">
        <x:v>020171803507</x:v>
      </x:c>
      <x:c r="E353" s="54" t="b">
        <x:f>COUNTIF('BOM'!$A$4:$A$531,A353)&gt;0</x:f>
        <x:v>0</x:v>
      </x:c>
      <x:c r="F353" s="54" t="b">
        <x:f>COUNTIF('BOM'!$B$4:$B$531,A353)&gt;0</x:f>
        <x:v>1</x:v>
      </x:c>
      <x:c r="G353" s="54" t="str">
        <x:f>IF(COUNTIF($A$4:$A$431,A353)=1,"OK","DUPLICATE SKU")</x:f>
        <x:v>OK</x:v>
      </x:c>
      <x:c r="H353"/>
    </x:row>
    <x:row r="354">
      <x:c r="A354" s="54" t="str">
        <x:v>PKG-0012</x:v>
      </x:c>
      <x:c r="B354" s="54" t="str">
        <x:v>Waxed Provision Sack, 50 lb</x:v>
      </x:c>
      <x:c r="C354" s="54" t="str">
        <x:v>SAILLOFT</x:v>
      </x:c>
      <x:c r="D354" s="67" t="str">
        <x:v>020171803514</x:v>
      </x:c>
      <x:c r="E354" s="54" t="b">
        <x:f>COUNTIF('BOM'!$A$4:$A$531,A354)&gt;0</x:f>
        <x:v>0</x:v>
      </x:c>
      <x:c r="F354" s="54" t="b">
        <x:f>COUNTIF('BOM'!$B$4:$B$531,A354)&gt;0</x:f>
        <x:v>1</x:v>
      </x:c>
      <x:c r="G354" s="54" t="str">
        <x:f>IF(COUNTIF($A$4:$A$431,A354)=1,"OK","DUPLICATE SKU")</x:f>
        <x:v>OK</x:v>
      </x:c>
      <x:c r="H354"/>
    </x:row>
    <x:row r="355">
      <x:c r="A355" s="54" t="str">
        <x:v>PKG-0013</x:v>
      </x:c>
      <x:c r="B355" s="54" t="str">
        <x:v>Provision Crate, 50 lb</x:v>
      </x:c>
      <x:c r="C355" s="54" t="str">
        <x:v>CARPENTER</x:v>
      </x:c>
      <x:c r="D355" s="67" t="str">
        <x:v>020171803521</x:v>
      </x:c>
      <x:c r="E355" s="54" t="b">
        <x:f>COUNTIF('BOM'!$A$4:$A$531,A355)&gt;0</x:f>
        <x:v>0</x:v>
      </x:c>
      <x:c r="F355" s="54" t="b">
        <x:f>COUNTIF('BOM'!$B$4:$B$531,A355)&gt;0</x:f>
        <x:v>1</x:v>
      </x:c>
      <x:c r="G355" s="54" t="str">
        <x:f>IF(COUNTIF($A$4:$A$431,A355)=1,"OK","DUPLICATE SKU")</x:f>
        <x:v>OK</x:v>
      </x:c>
      <x:c r="H355"/>
    </x:row>
    <x:row r="356">
      <x:c r="A356" s="54" t="str">
        <x:v>PKG-0014</x:v>
      </x:c>
      <x:c r="B356" s="54" t="str">
        <x:v>Butter Firkin, 25 lb Capacity</x:v>
      </x:c>
      <x:c r="C356" s="54" t="str">
        <x:v>COOPER</x:v>
      </x:c>
      <x:c r="D356" s="67" t="str">
        <x:v>020171803538</x:v>
      </x:c>
      <x:c r="E356" s="54" t="b">
        <x:f>COUNTIF('BOM'!$A$4:$A$531,A356)&gt;0</x:f>
        <x:v>0</x:v>
      </x:c>
      <x:c r="F356" s="54" t="b">
        <x:f>COUNTIF('BOM'!$B$4:$B$531,A356)&gt;0</x:f>
        <x:v>1</x:v>
      </x:c>
      <x:c r="G356" s="54" t="str">
        <x:f>IF(COUNTIF($A$4:$A$431,A356)=1,"OK","DUPLICATE SKU")</x:f>
        <x:v>OK</x:v>
      </x:c>
      <x:c r="H356"/>
    </x:row>
    <x:row r="357">
      <x:c r="A357" s="54" t="str">
        <x:v>MAT-0026</x:v>
      </x:c>
      <x:c r="B357" s="54" t="str">
        <x:v>Potable Water, Gallon</x:v>
      </x:c>
      <x:c r="C357" s="54" t="str">
        <x:v>QUARTER</x:v>
      </x:c>
      <x:c r="D357" s="67" t="str">
        <x:v>020171803545</x:v>
      </x:c>
      <x:c r="E357" s="54" t="b">
        <x:f>COUNTIF('BOM'!$A$4:$A$531,A357)&gt;0</x:f>
        <x:v>0</x:v>
      </x:c>
      <x:c r="F357" s="54" t="b">
        <x:f>COUNTIF('BOM'!$B$4:$B$531,A357)&gt;0</x:f>
        <x:v>1</x:v>
      </x:c>
      <x:c r="G357" s="54" t="str">
        <x:f>IF(COUNTIF($A$4:$A$431,A357)=1,"OK","DUPLICATE SKU")</x:f>
        <x:v>OK</x:v>
      </x:c>
      <x:c r="H357"/>
    </x:row>
    <x:row r="358">
      <x:c r="A358" s="54" t="str">
        <x:v>MAT-0027</x:v>
      </x:c>
      <x:c r="B358" s="54" t="str">
        <x:v>Caribbean Rum, Gallon</x:v>
      </x:c>
      <x:c r="C358" s="54" t="str">
        <x:v>QUARTER</x:v>
      </x:c>
      <x:c r="D358" s="67" t="str">
        <x:v>020171803552</x:v>
      </x:c>
      <x:c r="E358" s="54" t="b">
        <x:f>COUNTIF('BOM'!$A$4:$A$531,A358)&gt;0</x:f>
        <x:v>0</x:v>
      </x:c>
      <x:c r="F358" s="54" t="b">
        <x:f>COUNTIF('BOM'!$B$4:$B$531,A358)&gt;0</x:f>
        <x:v>1</x:v>
      </x:c>
      <x:c r="G358" s="54" t="str">
        <x:f>IF(COUNTIF($A$4:$A$431,A358)=1,"OK","DUPLICATE SKU")</x:f>
        <x:v>OK</x:v>
      </x:c>
      <x:c r="H358"/>
    </x:row>
    <x:row r="359">
      <x:c r="A359" s="54" t="str">
        <x:v>MAT-0028</x:v>
      </x:c>
      <x:c r="B359" s="54" t="str">
        <x:v>Vinegar, Gallon</x:v>
      </x:c>
      <x:c r="C359" s="54" t="str">
        <x:v>QUARTER</x:v>
      </x:c>
      <x:c r="D359" s="67" t="str">
        <x:v>020171803569</x:v>
      </x:c>
      <x:c r="E359" s="54" t="b">
        <x:f>COUNTIF('BOM'!$A$4:$A$531,A359)&gt;0</x:f>
        <x:v>0</x:v>
      </x:c>
      <x:c r="F359" s="54" t="b">
        <x:f>COUNTIF('BOM'!$B$4:$B$531,A359)&gt;0</x:f>
        <x:v>1</x:v>
      </x:c>
      <x:c r="G359" s="54" t="str">
        <x:f>IF(COUNTIF($A$4:$A$431,A359)=1,"OK","DUPLICATE SKU")</x:f>
        <x:v>OK</x:v>
      </x:c>
      <x:c r="H359"/>
    </x:row>
    <x:row r="360">
      <x:c r="A360" s="54" t="str">
        <x:v>MAT-0029</x:v>
      </x:c>
      <x:c r="B360" s="54" t="str">
        <x:v>Ship's Biscuit, Pound</x:v>
      </x:c>
      <x:c r="C360" s="54" t="str">
        <x:v>BAKERY</x:v>
      </x:c>
      <x:c r="D360" s="67" t="str">
        <x:v>020171803576</x:v>
      </x:c>
      <x:c r="E360" s="54" t="b">
        <x:f>COUNTIF('BOM'!$A$4:$A$531,A360)&gt;0</x:f>
        <x:v>0</x:v>
      </x:c>
      <x:c r="F360" s="54" t="b">
        <x:f>COUNTIF('BOM'!$B$4:$B$531,A360)&gt;0</x:f>
        <x:v>1</x:v>
      </x:c>
      <x:c r="G360" s="54" t="str">
        <x:f>IF(COUNTIF($A$4:$A$431,A360)=1,"OK","DUPLICATE SKU")</x:f>
        <x:v>OK</x:v>
      </x:c>
      <x:c r="H360"/>
    </x:row>
    <x:row r="361">
      <x:c r="A361" s="54" t="str">
        <x:v>MAT-0030</x:v>
      </x:c>
      <x:c r="B361" s="54" t="str">
        <x:v>Salt Beef, Pound</x:v>
      </x:c>
      <x:c r="C361" s="54" t="str">
        <x:v>VICTUALER</x:v>
      </x:c>
      <x:c r="D361" s="67" t="str">
        <x:v>020171803583</x:v>
      </x:c>
      <x:c r="E361" s="54" t="b">
        <x:f>COUNTIF('BOM'!$A$4:$A$531,A361)&gt;0</x:f>
        <x:v>0</x:v>
      </x:c>
      <x:c r="F361" s="54" t="b">
        <x:f>COUNTIF('BOM'!$B$4:$B$531,A361)&gt;0</x:f>
        <x:v>1</x:v>
      </x:c>
      <x:c r="G361" s="54" t="str">
        <x:f>IF(COUNTIF($A$4:$A$431,A361)=1,"OK","DUPLICATE SKU")</x:f>
        <x:v>OK</x:v>
      </x:c>
      <x:c r="H361"/>
    </x:row>
    <x:row r="362">
      <x:c r="A362" s="54" t="str">
        <x:v>MAT-0031</x:v>
      </x:c>
      <x:c r="B362" s="54" t="str">
        <x:v>Salt Pork, Pound</x:v>
      </x:c>
      <x:c r="C362" s="54" t="str">
        <x:v>VICTUALER</x:v>
      </x:c>
      <x:c r="D362" s="67" t="str">
        <x:v>020171803590</x:v>
      </x:c>
      <x:c r="E362" s="54" t="b">
        <x:f>COUNTIF('BOM'!$A$4:$A$531,A362)&gt;0</x:f>
        <x:v>0</x:v>
      </x:c>
      <x:c r="F362" s="54" t="b">
        <x:f>COUNTIF('BOM'!$B$4:$B$531,A362)&gt;0</x:f>
        <x:v>1</x:v>
      </x:c>
      <x:c r="G362" s="54" t="str">
        <x:f>IF(COUNTIF($A$4:$A$431,A362)=1,"OK","DUPLICATE SKU")</x:f>
        <x:v>OK</x:v>
      </x:c>
      <x:c r="H362"/>
    </x:row>
    <x:row r="363">
      <x:c r="A363" s="54" t="str">
        <x:v>MAT-0032</x:v>
      </x:c>
      <x:c r="B363" s="54" t="str">
        <x:v>Dried Fish, Pound</x:v>
      </x:c>
      <x:c r="C363" s="54" t="str">
        <x:v>VICTUALER</x:v>
      </x:c>
      <x:c r="D363" s="67" t="str">
        <x:v>020171803606</x:v>
      </x:c>
      <x:c r="E363" s="54" t="b">
        <x:f>COUNTIF('BOM'!$A$4:$A$531,A363)&gt;0</x:f>
        <x:v>0</x:v>
      </x:c>
      <x:c r="F363" s="54" t="b">
        <x:f>COUNTIF('BOM'!$B$4:$B$531,A363)&gt;0</x:f>
        <x:v>1</x:v>
      </x:c>
      <x:c r="G363" s="54" t="str">
        <x:f>IF(COUNTIF($A$4:$A$431,A363)=1,"OK","DUPLICATE SKU")</x:f>
        <x:v>OK</x:v>
      </x:c>
      <x:c r="H363"/>
    </x:row>
    <x:row r="364">
      <x:c r="A364" s="54" t="str">
        <x:v>MAT-0033</x:v>
      </x:c>
      <x:c r="B364" s="54" t="str">
        <x:v>Dried Peas, Pound</x:v>
      </x:c>
      <x:c r="C364" s="54" t="str">
        <x:v>VICTUALER</x:v>
      </x:c>
      <x:c r="D364" s="67" t="str">
        <x:v>020171803613</x:v>
      </x:c>
      <x:c r="E364" s="54" t="b">
        <x:f>COUNTIF('BOM'!$A$4:$A$531,A364)&gt;0</x:f>
        <x:v>0</x:v>
      </x:c>
      <x:c r="F364" s="54" t="b">
        <x:f>COUNTIF('BOM'!$B$4:$B$531,A364)&gt;0</x:f>
        <x:v>1</x:v>
      </x:c>
      <x:c r="G364" s="54" t="str">
        <x:f>IF(COUNTIF($A$4:$A$431,A364)=1,"OK","DUPLICATE SKU")</x:f>
        <x:v>OK</x:v>
      </x:c>
      <x:c r="H364"/>
    </x:row>
    <x:row r="365">
      <x:c r="A365" s="54" t="str">
        <x:v>MAT-0034</x:v>
      </x:c>
      <x:c r="B365" s="54" t="str">
        <x:v>Oatmeal, Pound</x:v>
      </x:c>
      <x:c r="C365" s="54" t="str">
        <x:v>VICTUALER</x:v>
      </x:c>
      <x:c r="D365" s="67" t="str">
        <x:v>020171803620</x:v>
      </x:c>
      <x:c r="E365" s="54" t="b">
        <x:f>COUNTIF('BOM'!$A$4:$A$531,A365)&gt;0</x:f>
        <x:v>0</x:v>
      </x:c>
      <x:c r="F365" s="54" t="b">
        <x:f>COUNTIF('BOM'!$B$4:$B$531,A365)&gt;0</x:f>
        <x:v>1</x:v>
      </x:c>
      <x:c r="G365" s="54" t="str">
        <x:f>IF(COUNTIF($A$4:$A$431,A365)=1,"OK","DUPLICATE SKU")</x:f>
        <x:v>OK</x:v>
      </x:c>
      <x:c r="H365"/>
    </x:row>
    <x:row r="366">
      <x:c r="A366" s="54" t="str">
        <x:v>MAT-0035</x:v>
      </x:c>
      <x:c r="B366" s="54" t="str">
        <x:v>Hard Cheese, Pound</x:v>
      </x:c>
      <x:c r="C366" s="54" t="str">
        <x:v>VICTUALER</x:v>
      </x:c>
      <x:c r="D366" s="67" t="str">
        <x:v>020171803637</x:v>
      </x:c>
      <x:c r="E366" s="54" t="b">
        <x:f>COUNTIF('BOM'!$A$4:$A$531,A366)&gt;0</x:f>
        <x:v>0</x:v>
      </x:c>
      <x:c r="F366" s="54" t="b">
        <x:f>COUNTIF('BOM'!$B$4:$B$531,A366)&gt;0</x:f>
        <x:v>1</x:v>
      </x:c>
      <x:c r="G366" s="54" t="str">
        <x:f>IF(COUNTIF($A$4:$A$431,A366)=1,"OK","DUPLICATE SKU")</x:f>
        <x:v>OK</x:v>
      </x:c>
      <x:c r="H366"/>
    </x:row>
    <x:row r="367">
      <x:c r="A367" s="54" t="str">
        <x:v>MAT-0036</x:v>
      </x:c>
      <x:c r="B367" s="54" t="str">
        <x:v>Salt Butter, Pound</x:v>
      </x:c>
      <x:c r="C367" s="54" t="str">
        <x:v>VICTUALER</x:v>
      </x:c>
      <x:c r="D367" s="67" t="str">
        <x:v>020171803644</x:v>
      </x:c>
      <x:c r="E367" s="54" t="b">
        <x:f>COUNTIF('BOM'!$A$4:$A$531,A367)&gt;0</x:f>
        <x:v>0</x:v>
      </x:c>
      <x:c r="F367" s="54" t="b">
        <x:f>COUNTIF('BOM'!$B$4:$B$531,A367)&gt;0</x:f>
        <x:v>1</x:v>
      </x:c>
      <x:c r="G367" s="54" t="str">
        <x:f>IF(COUNTIF($A$4:$A$431,A367)=1,"OK","DUPLICATE SKU")</x:f>
        <x:v>OK</x:v>
      </x:c>
      <x:c r="H367"/>
    </x:row>
    <x:row r="368">
      <x:c r="A368" s="54" t="str">
        <x:v>MAT-0037</x:v>
      </x:c>
      <x:c r="B368" s="54" t="str">
        <x:v>Sea Salt, Pound</x:v>
      </x:c>
      <x:c r="C368" s="54" t="str">
        <x:v>VICTUALER</x:v>
      </x:c>
      <x:c r="D368" s="67" t="str">
        <x:v>020171803651</x:v>
      </x:c>
      <x:c r="E368" s="54" t="b">
        <x:f>COUNTIF('BOM'!$A$4:$A$531,A368)&gt;0</x:f>
        <x:v>0</x:v>
      </x:c>
      <x:c r="F368" s="54" t="b">
        <x:f>COUNTIF('BOM'!$B$4:$B$531,A368)&gt;0</x:f>
        <x:v>1</x:v>
      </x:c>
      <x:c r="G368" s="54" t="str">
        <x:f>IF(COUNTIF($A$4:$A$431,A368)=1,"OK","DUPLICATE SKU")</x:f>
        <x:v>OK</x:v>
      </x:c>
      <x:c r="H368"/>
    </x:row>
    <x:row r="369">
      <x:c r="A369" s="54" t="str">
        <x:v>MAT-0038</x:v>
      </x:c>
      <x:c r="B369" s="54" t="str">
        <x:v>Cooking Oil, Gallon</x:v>
      </x:c>
      <x:c r="C369" s="54" t="str">
        <x:v>VICTUALER</x:v>
      </x:c>
      <x:c r="D369" s="67" t="str">
        <x:v>020171803668</x:v>
      </x:c>
      <x:c r="E369" s="54" t="b">
        <x:f>COUNTIF('BOM'!$A$4:$A$531,A369)&gt;0</x:f>
        <x:v>0</x:v>
      </x:c>
      <x:c r="F369" s="54" t="b">
        <x:f>COUNTIF('BOM'!$B$4:$B$531,A369)&gt;0</x:f>
        <x:v>1</x:v>
      </x:c>
      <x:c r="G369" s="54" t="str">
        <x:f>IF(COUNTIF($A$4:$A$431,A369)=1,"OK","DUPLICATE SKU")</x:f>
        <x:v>OK</x:v>
      </x:c>
      <x:c r="H369"/>
    </x:row>
    <x:row r="370">
      <x:c r="A370" s="54" t="str">
        <x:v>LBL-0007</x:v>
      </x:c>
      <x:c r="B370" s="54" t="str">
        <x:v>Provision Label - Potable Water</x:v>
      </x:c>
      <x:c r="C370" s="54" t="str">
        <x:v>LABELSHOP</x:v>
      </x:c>
      <x:c r="D370" s="67" t="str">
        <x:v>020171803675</x:v>
      </x:c>
      <x:c r="E370" s="54" t="b">
        <x:f>COUNTIF('BOM'!$A$4:$A$531,A370)&gt;0</x:f>
        <x:v>0</x:v>
      </x:c>
      <x:c r="F370" s="54" t="b">
        <x:f>COUNTIF('BOM'!$B$4:$B$531,A370)&gt;0</x:f>
        <x:v>1</x:v>
      </x:c>
      <x:c r="G370" s="54" t="str">
        <x:f>IF(COUNTIF($A$4:$A$431,A370)=1,"OK","DUPLICATE SKU")</x:f>
        <x:v>OK</x:v>
      </x:c>
      <x:c r="H370"/>
    </x:row>
    <x:row r="371">
      <x:c r="A371" s="54" t="str">
        <x:v>LBL-0008</x:v>
      </x:c>
      <x:c r="B371" s="54" t="str">
        <x:v>Provision Label - Rum / Flammable</x:v>
      </x:c>
      <x:c r="C371" s="54" t="str">
        <x:v>LABELSHOP</x:v>
      </x:c>
      <x:c r="D371" s="67" t="str">
        <x:v>020171803682</x:v>
      </x:c>
      <x:c r="E371" s="54" t="b">
        <x:f>COUNTIF('BOM'!$A$4:$A$531,A371)&gt;0</x:f>
        <x:v>0</x:v>
      </x:c>
      <x:c r="F371" s="54" t="b">
        <x:f>COUNTIF('BOM'!$B$4:$B$531,A371)&gt;0</x:f>
        <x:v>1</x:v>
      </x:c>
      <x:c r="G371" s="54" t="str">
        <x:f>IF(COUNTIF($A$4:$A$431,A371)=1,"OK","DUPLICATE SKU")</x:f>
        <x:v>OK</x:v>
      </x:c>
      <x:c r="H371"/>
    </x:row>
    <x:row r="372">
      <x:c r="A372" s="54" t="str">
        <x:v>LBL-0009</x:v>
      </x:c>
      <x:c r="B372" s="54" t="str">
        <x:v>Provision Label - Food Lot</x:v>
      </x:c>
      <x:c r="C372" s="54" t="str">
        <x:v>LABELSHOP</x:v>
      </x:c>
      <x:c r="D372" s="67" t="str">
        <x:v>020171803699</x:v>
      </x:c>
      <x:c r="E372" s="54" t="b">
        <x:f>COUNTIF('BOM'!$A$4:$A$531,A372)&gt;0</x:f>
        <x:v>0</x:v>
      </x:c>
      <x:c r="F372" s="54" t="b">
        <x:f>COUNTIF('BOM'!$B$4:$B$531,A372)&gt;0</x:f>
        <x:v>1</x:v>
      </x:c>
      <x:c r="G372" s="54" t="str">
        <x:f>IF(COUNTIF($A$4:$A$431,A372)=1,"OK","DUPLICATE SKU")</x:f>
        <x:v>OK</x:v>
      </x:c>
      <x:c r="H372"/>
    </x:row>
    <x:row r="373">
      <x:c r="A373" s="54" t="str">
        <x:v>LBL-0010</x:v>
      </x:c>
      <x:c r="B373" s="54" t="str">
        <x:v>Provision Label - Vinegar</x:v>
      </x:c>
      <x:c r="C373" s="54" t="str">
        <x:v>LABELSHOP</x:v>
      </x:c>
      <x:c r="D373" s="67" t="str">
        <x:v>020171803705</x:v>
      </x:c>
      <x:c r="E373" s="54" t="b">
        <x:f>COUNTIF('BOM'!$A$4:$A$531,A373)&gt;0</x:f>
        <x:v>0</x:v>
      </x:c>
      <x:c r="F373" s="54" t="b">
        <x:f>COUNTIF('BOM'!$B$4:$B$531,A373)&gt;0</x:f>
        <x:v>1</x:v>
      </x:c>
      <x:c r="G373" s="54" t="str">
        <x:f>IF(COUNTIF($A$4:$A$431,A373)=1,"OK","DUPLICATE SKU")</x:f>
        <x:v>OK</x:v>
      </x:c>
      <x:c r="H373"/>
    </x:row>
    <x:row r="374">
      <x:c r="A374" s="54" t="str">
        <x:v>ASM-0042</x:v>
      </x:c>
      <x:c r="B374" s="54" t="str">
        <x:v>Potable Water Cask, 50 gal</x:v>
      </x:c>
      <x:c r="C374" s="54" t="str">
        <x:v>QUARTER</x:v>
      </x:c>
      <x:c r="D374" s="67" t="str">
        <x:v>020171803712</x:v>
      </x:c>
      <x:c r="E374" s="54" t="b">
        <x:f>COUNTIF('BOM'!$A$4:$A$531,A374)&gt;0</x:f>
        <x:v>1</x:v>
      </x:c>
      <x:c r="F374" s="54" t="b">
        <x:f>COUNTIF('BOM'!$B$4:$B$531,A374)&gt;0</x:f>
        <x:v>1</x:v>
      </x:c>
      <x:c r="G374" s="54" t="str">
        <x:f>IF(COUNTIF($A$4:$A$431,A374)=1,"OK","DUPLICATE SKU")</x:f>
        <x:v>OK</x:v>
      </x:c>
      <x:c r="H374"/>
    </x:row>
    <x:row r="375">
      <x:c r="A375" s="54" t="str">
        <x:v>ASM-0043</x:v>
      </x:c>
      <x:c r="B375" s="54" t="str">
        <x:v>Rum Cask, 50 gal</x:v>
      </x:c>
      <x:c r="C375" s="54" t="str">
        <x:v>QUARTER</x:v>
      </x:c>
      <x:c r="D375" s="67" t="str">
        <x:v>020171803729</x:v>
      </x:c>
      <x:c r="E375" s="54" t="b">
        <x:f>COUNTIF('BOM'!$A$4:$A$531,A375)&gt;0</x:f>
        <x:v>1</x:v>
      </x:c>
      <x:c r="F375" s="54" t="b">
        <x:f>COUNTIF('BOM'!$B$4:$B$531,A375)&gt;0</x:f>
        <x:v>1</x:v>
      </x:c>
      <x:c r="G375" s="54" t="str">
        <x:f>IF(COUNTIF($A$4:$A$431,A375)=1,"OK","DUPLICATE SKU")</x:f>
        <x:v>OK</x:v>
      </x:c>
      <x:c r="H375"/>
    </x:row>
    <x:row r="376">
      <x:c r="A376" s="54" t="str">
        <x:v>ASM-0044</x:v>
      </x:c>
      <x:c r="B376" s="54" t="str">
        <x:v>Vinegar Cask, 25 gal</x:v>
      </x:c>
      <x:c r="C376" s="54" t="str">
        <x:v>QUARTER</x:v>
      </x:c>
      <x:c r="D376" s="67" t="str">
        <x:v>020171803736</x:v>
      </x:c>
      <x:c r="E376" s="54" t="b">
        <x:f>COUNTIF('BOM'!$A$4:$A$531,A376)&gt;0</x:f>
        <x:v>1</x:v>
      </x:c>
      <x:c r="F376" s="54" t="b">
        <x:f>COUNTIF('BOM'!$B$4:$B$531,A376)&gt;0</x:f>
        <x:v>1</x:v>
      </x:c>
      <x:c r="G376" s="54" t="str">
        <x:f>IF(COUNTIF($A$4:$A$431,A376)=1,"OK","DUPLICATE SKU")</x:f>
        <x:v>OK</x:v>
      </x:c>
      <x:c r="H376"/>
    </x:row>
    <x:row r="377">
      <x:c r="A377" s="54" t="str">
        <x:v>ASM-0045</x:v>
      </x:c>
      <x:c r="B377" s="54" t="str">
        <x:v>Ship's Biscuit Cask, 100 lb</x:v>
      </x:c>
      <x:c r="C377" s="54" t="str">
        <x:v>QUARTER</x:v>
      </x:c>
      <x:c r="D377" s="67" t="str">
        <x:v>020171803743</x:v>
      </x:c>
      <x:c r="E377" s="54" t="b">
        <x:f>COUNTIF('BOM'!$A$4:$A$531,A377)&gt;0</x:f>
        <x:v>1</x:v>
      </x:c>
      <x:c r="F377" s="54" t="b">
        <x:f>COUNTIF('BOM'!$B$4:$B$531,A377)&gt;0</x:f>
        <x:v>1</x:v>
      </x:c>
      <x:c r="G377" s="54" t="str">
        <x:f>IF(COUNTIF($A$4:$A$431,A377)=1,"OK","DUPLICATE SKU")</x:f>
        <x:v>OK</x:v>
      </x:c>
      <x:c r="H377"/>
    </x:row>
    <x:row r="378">
      <x:c r="A378" s="54" t="str">
        <x:v>ASM-0046</x:v>
      </x:c>
      <x:c r="B378" s="54" t="str">
        <x:v>Salt Beef Barrel, 200 lb</x:v>
      </x:c>
      <x:c r="C378" s="54" t="str">
        <x:v>QUARTER</x:v>
      </x:c>
      <x:c r="D378" s="67" t="str">
        <x:v>020171803750</x:v>
      </x:c>
      <x:c r="E378" s="54" t="b">
        <x:f>COUNTIF('BOM'!$A$4:$A$531,A378)&gt;0</x:f>
        <x:v>1</x:v>
      </x:c>
      <x:c r="F378" s="54" t="b">
        <x:f>COUNTIF('BOM'!$B$4:$B$531,A378)&gt;0</x:f>
        <x:v>1</x:v>
      </x:c>
      <x:c r="G378" s="54" t="str">
        <x:f>IF(COUNTIF($A$4:$A$431,A378)=1,"OK","DUPLICATE SKU")</x:f>
        <x:v>OK</x:v>
      </x:c>
      <x:c r="H378"/>
    </x:row>
    <x:row r="379">
      <x:c r="A379" s="54" t="str">
        <x:v>ASM-0047</x:v>
      </x:c>
      <x:c r="B379" s="54" t="str">
        <x:v>Salt Pork Barrel, 200 lb</x:v>
      </x:c>
      <x:c r="C379" s="54" t="str">
        <x:v>QUARTER</x:v>
      </x:c>
      <x:c r="D379" s="67" t="str">
        <x:v>020171803767</x:v>
      </x:c>
      <x:c r="E379" s="54" t="b">
        <x:f>COUNTIF('BOM'!$A$4:$A$531,A379)&gt;0</x:f>
        <x:v>1</x:v>
      </x:c>
      <x:c r="F379" s="54" t="b">
        <x:f>COUNTIF('BOM'!$B$4:$B$531,A379)&gt;0</x:f>
        <x:v>1</x:v>
      </x:c>
      <x:c r="G379" s="54" t="str">
        <x:f>IF(COUNTIF($A$4:$A$431,A379)=1,"OK","DUPLICATE SKU")</x:f>
        <x:v>OK</x:v>
      </x:c>
      <x:c r="H379"/>
    </x:row>
    <x:row r="380">
      <x:c r="A380" s="54" t="str">
        <x:v>ASM-0048</x:v>
      </x:c>
      <x:c r="B380" s="54" t="str">
        <x:v>Dried Fish Barrel, 100 lb</x:v>
      </x:c>
      <x:c r="C380" s="54" t="str">
        <x:v>QUARTER</x:v>
      </x:c>
      <x:c r="D380" s="67" t="str">
        <x:v>020171803774</x:v>
      </x:c>
      <x:c r="E380" s="54" t="b">
        <x:f>COUNTIF('BOM'!$A$4:$A$531,A380)&gt;0</x:f>
        <x:v>1</x:v>
      </x:c>
      <x:c r="F380" s="54" t="b">
        <x:f>COUNTIF('BOM'!$B$4:$B$531,A380)&gt;0</x:f>
        <x:v>1</x:v>
      </x:c>
      <x:c r="G380" s="54" t="str">
        <x:f>IF(COUNTIF($A$4:$A$431,A380)=1,"OK","DUPLICATE SKU")</x:f>
        <x:v>OK</x:v>
      </x:c>
      <x:c r="H380"/>
    </x:row>
    <x:row r="381">
      <x:c r="A381" s="54" t="str">
        <x:v>ASM-0049</x:v>
      </x:c>
      <x:c r="B381" s="54" t="str">
        <x:v>Dried Peas Sack, 50 lb</x:v>
      </x:c>
      <x:c r="C381" s="54" t="str">
        <x:v>QUARTER</x:v>
      </x:c>
      <x:c r="D381" s="67" t="str">
        <x:v>020171803781</x:v>
      </x:c>
      <x:c r="E381" s="54" t="b">
        <x:f>COUNTIF('BOM'!$A$4:$A$531,A381)&gt;0</x:f>
        <x:v>1</x:v>
      </x:c>
      <x:c r="F381" s="54" t="b">
        <x:f>COUNTIF('BOM'!$B$4:$B$531,A381)&gt;0</x:f>
        <x:v>1</x:v>
      </x:c>
      <x:c r="G381" s="54" t="str">
        <x:f>IF(COUNTIF($A$4:$A$431,A381)=1,"OK","DUPLICATE SKU")</x:f>
        <x:v>OK</x:v>
      </x:c>
      <x:c r="H381"/>
    </x:row>
    <x:row r="382">
      <x:c r="A382" s="54" t="str">
        <x:v>ASM-0050</x:v>
      </x:c>
      <x:c r="B382" s="54" t="str">
        <x:v>Oatmeal Sack, 50 lb</x:v>
      </x:c>
      <x:c r="C382" s="54" t="str">
        <x:v>QUARTER</x:v>
      </x:c>
      <x:c r="D382" s="67" t="str">
        <x:v>020171803798</x:v>
      </x:c>
      <x:c r="E382" s="54" t="b">
        <x:f>COUNTIF('BOM'!$A$4:$A$531,A382)&gt;0</x:f>
        <x:v>1</x:v>
      </x:c>
      <x:c r="F382" s="54" t="b">
        <x:f>COUNTIF('BOM'!$B$4:$B$531,A382)&gt;0</x:f>
        <x:v>1</x:v>
      </x:c>
      <x:c r="G382" s="54" t="str">
        <x:f>IF(COUNTIF($A$4:$A$431,A382)=1,"OK","DUPLICATE SKU")</x:f>
        <x:v>OK</x:v>
      </x:c>
      <x:c r="H382"/>
    </x:row>
    <x:row r="383">
      <x:c r="A383" s="54" t="str">
        <x:v>ASM-0051</x:v>
      </x:c>
      <x:c r="B383" s="54" t="str">
        <x:v>Hard Cheese Crate, 50 lb</x:v>
      </x:c>
      <x:c r="C383" s="54" t="str">
        <x:v>QUARTER</x:v>
      </x:c>
      <x:c r="D383" s="67" t="str">
        <x:v>020171803804</x:v>
      </x:c>
      <x:c r="E383" s="54" t="b">
        <x:f>COUNTIF('BOM'!$A$4:$A$531,A383)&gt;0</x:f>
        <x:v>1</x:v>
      </x:c>
      <x:c r="F383" s="54" t="b">
        <x:f>COUNTIF('BOM'!$B$4:$B$531,A383)&gt;0</x:f>
        <x:v>1</x:v>
      </x:c>
      <x:c r="G383" s="54" t="str">
        <x:f>IF(COUNTIF($A$4:$A$431,A383)=1,"OK","DUPLICATE SKU")</x:f>
        <x:v>OK</x:v>
      </x:c>
      <x:c r="H383"/>
    </x:row>
    <x:row r="384">
      <x:c r="A384" s="54" t="str">
        <x:v>ASM-0052</x:v>
      </x:c>
      <x:c r="B384" s="54" t="str">
        <x:v>Salt Butter Firkin, 25 lb</x:v>
      </x:c>
      <x:c r="C384" s="54" t="str">
        <x:v>QUARTER</x:v>
      </x:c>
      <x:c r="D384" s="67" t="str">
        <x:v>020171803811</x:v>
      </x:c>
      <x:c r="E384" s="54" t="b">
        <x:f>COUNTIF('BOM'!$A$4:$A$531,A384)&gt;0</x:f>
        <x:v>1</x:v>
      </x:c>
      <x:c r="F384" s="54" t="b">
        <x:f>COUNTIF('BOM'!$B$4:$B$531,A384)&gt;0</x:f>
        <x:v>1</x:v>
      </x:c>
      <x:c r="G384" s="54" t="str">
        <x:f>IF(COUNTIF($A$4:$A$431,A384)=1,"OK","DUPLICATE SKU")</x:f>
        <x:v>OK</x:v>
      </x:c>
      <x:c r="H384"/>
    </x:row>
    <x:row r="385">
      <x:c r="A385" s="54" t="str">
        <x:v>ASM-0053</x:v>
      </x:c>
      <x:c r="B385" s="54" t="str">
        <x:v>Sea Salt Sack, 50 lb</x:v>
      </x:c>
      <x:c r="C385" s="54" t="str">
        <x:v>QUARTER</x:v>
      </x:c>
      <x:c r="D385" s="67" t="str">
        <x:v>020171803828</x:v>
      </x:c>
      <x:c r="E385" s="54" t="b">
        <x:f>COUNTIF('BOM'!$A$4:$A$531,A385)&gt;0</x:f>
        <x:v>1</x:v>
      </x:c>
      <x:c r="F385" s="54" t="b">
        <x:f>COUNTIF('BOM'!$B$4:$B$531,A385)&gt;0</x:f>
        <x:v>1</x:v>
      </x:c>
      <x:c r="G385" s="54" t="str">
        <x:f>IF(COUNTIF($A$4:$A$431,A385)=1,"OK","DUPLICATE SKU")</x:f>
        <x:v>OK</x:v>
      </x:c>
      <x:c r="H385"/>
    </x:row>
    <x:row r="386">
      <x:c r="A386" s="54" t="str">
        <x:v>ASM-0054</x:v>
      </x:c>
      <x:c r="B386" s="54" t="str">
        <x:v>Cooking Oil Cask, 25 gal</x:v>
      </x:c>
      <x:c r="C386" s="54" t="str">
        <x:v>QUARTER</x:v>
      </x:c>
      <x:c r="D386" s="67" t="str">
        <x:v>020171803835</x:v>
      </x:c>
      <x:c r="E386" s="54" t="b">
        <x:f>COUNTIF('BOM'!$A$4:$A$531,A386)&gt;0</x:f>
        <x:v>1</x:v>
      </x:c>
      <x:c r="F386" s="54" t="b">
        <x:f>COUNTIF('BOM'!$B$4:$B$531,A386)&gt;0</x:f>
        <x:v>1</x:v>
      </x:c>
      <x:c r="G386" s="54" t="str">
        <x:f>IF(COUNTIF($A$4:$A$431,A386)=1,"OK","DUPLICATE SKU")</x:f>
        <x:v>OK</x:v>
      </x:c>
      <x:c r="H386"/>
    </x:row>
    <x:row r="387">
      <x:c r="A387" s="54" t="str">
        <x:v>KIT-0042</x:v>
      </x:c>
      <x:c r="B387" s="54" t="str">
        <x:v>Individual Crew Issue Pack</x:v>
      </x:c>
      <x:c r="C387" s="54" t="str">
        <x:v>QUARTER</x:v>
      </x:c>
      <x:c r="D387" s="67" t="str">
        <x:v>020171803842</x:v>
      </x:c>
      <x:c r="E387" s="54" t="b">
        <x:f>COUNTIF('BOM'!$A$4:$A$531,A387)&gt;0</x:f>
        <x:v>1</x:v>
      </x:c>
      <x:c r="F387" s="54" t="b">
        <x:f>COUNTIF('BOM'!$B$4:$B$531,A387)&gt;0</x:f>
        <x:v>1</x:v>
      </x:c>
      <x:c r="G387" s="54" t="str">
        <x:f>IF(COUNTIF($A$4:$A$431,A387)=1,"OK","DUPLICATE SKU")</x:f>
        <x:v>OK</x:v>
      </x:c>
      <x:c r="H387"/>
    </x:row>
    <x:row r="388">
      <x:c r="A388" s="54" t="str">
        <x:v>OFT-0023</x:v>
      </x:c>
      <x:c r="B388" s="54" t="str">
        <x:v>Spare Berthing Stores</x:v>
      </x:c>
      <x:c r="C388" s="54" t="str">
        <x:v>QUARTER</x:v>
      </x:c>
      <x:c r="D388" s="67" t="str">
        <x:v>020171803859</x:v>
      </x:c>
      <x:c r="E388" s="54" t="b">
        <x:f>COUNTIF('BOM'!$A$4:$A$531,A388)&gt;0</x:f>
        <x:v>1</x:v>
      </x:c>
      <x:c r="F388" s="54" t="b">
        <x:f>COUNTIF('BOM'!$B$4:$B$531,A388)&gt;0</x:f>
        <x:v>1</x:v>
      </x:c>
      <x:c r="G388" s="54" t="str">
        <x:f>IF(COUNTIF($A$4:$A$431,A388)=1,"OK","DUPLICATE SKU")</x:f>
        <x:v>OK</x:v>
      </x:c>
      <x:c r="H388"/>
    </x:row>
    <x:row r="389">
      <x:c r="A389" s="54" t="str">
        <x:v>ASM-0055</x:v>
      </x:c>
      <x:c r="B389" s="54" t="str">
        <x:v>Canvas Sailor's Hammock</x:v>
      </x:c>
      <x:c r="C389" s="54" t="str">
        <x:v>SAILLOFT</x:v>
      </x:c>
      <x:c r="D389" s="67" t="str">
        <x:v>020171803866</x:v>
      </x:c>
      <x:c r="E389" s="54" t="b">
        <x:f>COUNTIF('BOM'!$A$4:$A$531,A389)&gt;0</x:f>
        <x:v>0</x:v>
      </x:c>
      <x:c r="F389" s="54" t="b">
        <x:f>COUNTIF('BOM'!$B$4:$B$531,A389)&gt;0</x:f>
        <x:v>1</x:v>
      </x:c>
      <x:c r="G389" s="54" t="str">
        <x:f>IF(COUNTIF($A$4:$A$431,A389)=1,"OK","DUPLICATE SKU")</x:f>
        <x:v>OK</x:v>
      </x:c>
      <x:c r="H389"/>
    </x:row>
    <x:row r="390">
      <x:c r="A390" s="54" t="str">
        <x:v>PRT-0151</x:v>
      </x:c>
      <x:c r="B390" s="54" t="str">
        <x:v>Wool Sea Blanket</x:v>
      </x:c>
      <x:c r="C390" s="54" t="str">
        <x:v>TEXTILES</x:v>
      </x:c>
      <x:c r="D390" s="67" t="str">
        <x:v>020171803873</x:v>
      </x:c>
      <x:c r="E390" s="54" t="b">
        <x:f>COUNTIF('BOM'!$A$4:$A$531,A390)&gt;0</x:f>
        <x:v>0</x:v>
      </x:c>
      <x:c r="F390" s="54" t="b">
        <x:f>COUNTIF('BOM'!$B$4:$B$531,A390)&gt;0</x:f>
        <x:v>1</x:v>
      </x:c>
      <x:c r="G390" s="54" t="str">
        <x:f>IF(COUNTIF($A$4:$A$431,A390)=1,"OK","DUPLICATE SKU")</x:f>
        <x:v>OK</x:v>
      </x:c>
      <x:c r="H390"/>
    </x:row>
    <x:row r="391">
      <x:c r="A391" s="54" t="str">
        <x:v>PKG-0015</x:v>
      </x:c>
      <x:c r="B391" s="54" t="str">
        <x:v>Canvas Sea Bag</x:v>
      </x:c>
      <x:c r="C391" s="54" t="str">
        <x:v>SAILLOFT</x:v>
      </x:c>
      <x:c r="D391" s="67" t="str">
        <x:v>020171803880</x:v>
      </x:c>
      <x:c r="E391" s="54" t="b">
        <x:f>COUNTIF('BOM'!$A$4:$A$531,A391)&gt;0</x:f>
        <x:v>0</x:v>
      </x:c>
      <x:c r="F391" s="54" t="b">
        <x:f>COUNTIF('BOM'!$B$4:$B$531,A391)&gt;0</x:f>
        <x:v>1</x:v>
      </x:c>
      <x:c r="G391" s="54" t="str">
        <x:f>IF(COUNTIF($A$4:$A$431,A391)=1,"OK","DUPLICATE SKU")</x:f>
        <x:v>OK</x:v>
      </x:c>
      <x:c r="H391"/>
    </x:row>
    <x:row r="392">
      <x:c r="A392" s="54" t="str">
        <x:v>PRT-0152</x:v>
      </x:c>
      <x:c r="B392" s="54" t="str">
        <x:v>Pewter Drinking Cup</x:v>
      </x:c>
      <x:c r="C392" s="54" t="str">
        <x:v>PEWTERER</x:v>
      </x:c>
      <x:c r="D392" s="67" t="str">
        <x:v>020171803897</x:v>
      </x:c>
      <x:c r="E392" s="54" t="b">
        <x:f>COUNTIF('BOM'!$A$4:$A$531,A392)&gt;0</x:f>
        <x:v>0</x:v>
      </x:c>
      <x:c r="F392" s="54" t="b">
        <x:f>COUNTIF('BOM'!$B$4:$B$531,A392)&gt;0</x:f>
        <x:v>1</x:v>
      </x:c>
      <x:c r="G392" s="54" t="str">
        <x:f>IF(COUNTIF($A$4:$A$431,A392)=1,"OK","DUPLICATE SKU")</x:f>
        <x:v>OK</x:v>
      </x:c>
      <x:c r="H392"/>
    </x:row>
    <x:row r="393">
      <x:c r="A393" s="54" t="str">
        <x:v>PRT-0153</x:v>
      </x:c>
      <x:c r="B393" s="54" t="str">
        <x:v>Sailor's Utility Knife</x:v>
      </x:c>
      <x:c r="C393" s="54" t="str">
        <x:v>CUTLER</x:v>
      </x:c>
      <x:c r="D393" s="67" t="str">
        <x:v>020171803903</x:v>
      </x:c>
      <x:c r="E393" s="54" t="b">
        <x:f>COUNTIF('BOM'!$A$4:$A$531,A393)&gt;0</x:f>
        <x:v>0</x:v>
      </x:c>
      <x:c r="F393" s="54" t="b">
        <x:f>COUNTIF('BOM'!$B$4:$B$531,A393)&gt;0</x:f>
        <x:v>1</x:v>
      </x:c>
      <x:c r="G393" s="54" t="str">
        <x:f>IF(COUNTIF($A$4:$A$431,A393)=1,"OK","DUPLICATE SKU")</x:f>
        <x:v>OK</x:v>
      </x:c>
      <x:c r="H393"/>
    </x:row>
    <x:row r="394">
      <x:c r="A394" s="54" t="str">
        <x:v>KIT-0043</x:v>
      </x:c>
      <x:c r="B394" s="54" t="str">
        <x:v>Basic Clothing Bundle</x:v>
      </x:c>
      <x:c r="C394" s="54" t="str">
        <x:v>TEXTILES</x:v>
      </x:c>
      <x:c r="D394" s="67" t="str">
        <x:v>020171803910</x:v>
      </x:c>
      <x:c r="E394" s="54" t="b">
        <x:f>COUNTIF('BOM'!$A$4:$A$531,A394)&gt;0</x:f>
        <x:v>0</x:v>
      </x:c>
      <x:c r="F394" s="54" t="b">
        <x:f>COUNTIF('BOM'!$B$4:$B$531,A394)&gt;0</x:f>
        <x:v>1</x:v>
      </x:c>
      <x:c r="G394" s="54" t="str">
        <x:f>IF(COUNTIF($A$4:$A$431,A394)=1,"OK","DUPLICATE SKU")</x:f>
        <x:v>OK</x:v>
      </x:c>
      <x:c r="H394"/>
    </x:row>
    <x:row r="395">
      <x:c r="A395" s="54" t="str">
        <x:v>KIT-0044</x:v>
      </x:c>
      <x:c r="B395" s="54" t="str">
        <x:v>Hammock Clew and Lashing Set</x:v>
      </x:c>
      <x:c r="C395" s="54" t="str">
        <x:v>ROPEWALK</x:v>
      </x:c>
      <x:c r="D395" s="67" t="str">
        <x:v>020171803927</x:v>
      </x:c>
      <x:c r="E395" s="54" t="b">
        <x:f>COUNTIF('BOM'!$A$4:$A$531,A395)&gt;0</x:f>
        <x:v>0</x:v>
      </x:c>
      <x:c r="F395" s="54" t="b">
        <x:f>COUNTIF('BOM'!$B$4:$B$531,A395)&gt;0</x:f>
        <x:v>1</x:v>
      </x:c>
      <x:c r="G395" s="54" t="str">
        <x:f>IF(COUNTIF($A$4:$A$431,A395)=1,"OK","DUPLICATE SKU")</x:f>
        <x:v>OK</x:v>
      </x:c>
      <x:c r="H395"/>
    </x:row>
    <x:row r="396">
      <x:c r="A396" s="54" t="str">
        <x:v>LBL-0011</x:v>
      </x:c>
      <x:c r="B396" s="54" t="str">
        <x:v>Identity Label - Crew Issue Pack</x:v>
      </x:c>
      <x:c r="C396" s="54" t="str">
        <x:v>LABELSHOP</x:v>
      </x:c>
      <x:c r="D396" s="67" t="str">
        <x:v>020171803934</x:v>
      </x:c>
      <x:c r="E396" s="54" t="b">
        <x:f>COUNTIF('BOM'!$A$4:$A$531,A396)&gt;0</x:f>
        <x:v>0</x:v>
      </x:c>
      <x:c r="F396" s="54" t="b">
        <x:f>COUNTIF('BOM'!$B$4:$B$531,A396)&gt;0</x:f>
        <x:v>1</x:v>
      </x:c>
      <x:c r="G396" s="54" t="str">
        <x:f>IF(COUNTIF($A$4:$A$431,A396)=1,"OK","DUPLICATE SKU")</x:f>
        <x:v>OK</x:v>
      </x:c>
      <x:c r="H396"/>
    </x:row>
    <x:row r="397">
      <x:c r="A397" s="54" t="str">
        <x:v>QAR-0054</x:v>
      </x:c>
      <x:c r="B397" s="54" t="str">
        <x:v>Captain's Cabin Furniture and Service</x:v>
      </x:c>
      <x:c r="C397" s="54" t="str">
        <x:v>QUARTER</x:v>
      </x:c>
      <x:c r="D397" s="67" t="str">
        <x:v>020171803941</x:v>
      </x:c>
      <x:c r="E397" s="54" t="b">
        <x:f>COUNTIF('BOM'!$A$4:$A$531,A397)&gt;0</x:f>
        <x:v>1</x:v>
      </x:c>
      <x:c r="F397" s="54" t="b">
        <x:f>COUNTIF('BOM'!$B$4:$B$531,A397)&gt;0</x:f>
        <x:v>1</x:v>
      </x:c>
      <x:c r="G397" s="54" t="str">
        <x:f>IF(COUNTIF($A$4:$A$431,A397)=1,"OK","DUPLICATE SKU")</x:f>
        <x:v>OK</x:v>
      </x:c>
      <x:c r="H397"/>
    </x:row>
    <x:row r="398">
      <x:c r="A398" s="54" t="str">
        <x:v>KIT-0045</x:v>
      </x:c>
      <x:c r="B398" s="54" t="str">
        <x:v>Ship's Record and Writing Chest</x:v>
      </x:c>
      <x:c r="C398" s="54" t="str">
        <x:v>QUARTER</x:v>
      </x:c>
      <x:c r="D398" s="67" t="str">
        <x:v>020171803958</x:v>
      </x:c>
      <x:c r="E398" s="54" t="b">
        <x:f>COUNTIF('BOM'!$A$4:$A$531,A398)&gt;0</x:f>
        <x:v>1</x:v>
      </x:c>
      <x:c r="F398" s="54" t="b">
        <x:f>COUNTIF('BOM'!$B$4:$B$531,A398)&gt;0</x:f>
        <x:v>1</x:v>
      </x:c>
      <x:c r="G398" s="54" t="str">
        <x:f>IF(COUNTIF($A$4:$A$431,A398)=1,"OK","DUPLICATE SKU")</x:f>
        <x:v>OK</x:v>
      </x:c>
      <x:c r="H398"/>
    </x:row>
    <x:row r="399">
      <x:c r="A399" s="54" t="str">
        <x:v>ASM-0056</x:v>
      </x:c>
      <x:c r="B399" s="54" t="str">
        <x:v>Locking Strong Chest</x:v>
      </x:c>
      <x:c r="C399" s="54" t="str">
        <x:v>CARPENTER</x:v>
      </x:c>
      <x:c r="D399" s="67" t="str">
        <x:v>020171803965</x:v>
      </x:c>
      <x:c r="E399" s="54" t="b">
        <x:f>COUNTIF('BOM'!$A$4:$A$531,A399)&gt;0</x:f>
        <x:v>0</x:v>
      </x:c>
      <x:c r="F399" s="54" t="b">
        <x:f>COUNTIF('BOM'!$B$4:$B$531,A399)&gt;0</x:f>
        <x:v>1</x:v>
      </x:c>
      <x:c r="G399" s="54" t="str">
        <x:f>IF(COUNTIF($A$4:$A$431,A399)=1,"OK","DUPLICATE SKU")</x:f>
        <x:v>OK</x:v>
      </x:c>
      <x:c r="H399"/>
    </x:row>
    <x:row r="400">
      <x:c r="A400" s="54" t="str">
        <x:v>ASM-0057</x:v>
      </x:c>
      <x:c r="B400" s="54" t="str">
        <x:v>Folding Cabin Table</x:v>
      </x:c>
      <x:c r="C400" s="54" t="str">
        <x:v>CARPENTER</x:v>
      </x:c>
      <x:c r="D400" s="67" t="str">
        <x:v>020171803972</x:v>
      </x:c>
      <x:c r="E400" s="54" t="b">
        <x:f>COUNTIF('BOM'!$A$4:$A$531,A400)&gt;0</x:f>
        <x:v>0</x:v>
      </x:c>
      <x:c r="F400" s="54" t="b">
        <x:f>COUNTIF('BOM'!$B$4:$B$531,A400)&gt;0</x:f>
        <x:v>1</x:v>
      </x:c>
      <x:c r="G400" s="54" t="str">
        <x:f>IF(COUNTIF($A$4:$A$431,A400)=1,"OK","DUPLICATE SKU")</x:f>
        <x:v>OK</x:v>
      </x:c>
      <x:c r="H400"/>
    </x:row>
    <x:row r="401">
      <x:c r="A401" s="54" t="str">
        <x:v>ASM-0058</x:v>
      </x:c>
      <x:c r="B401" s="54" t="str">
        <x:v>Cabin Chair</x:v>
      </x:c>
      <x:c r="C401" s="54" t="str">
        <x:v>CARPENTER</x:v>
      </x:c>
      <x:c r="D401" s="67" t="str">
        <x:v>020171803989</x:v>
      </x:c>
      <x:c r="E401" s="54" t="b">
        <x:f>COUNTIF('BOM'!$A$4:$A$531,A401)&gt;0</x:f>
        <x:v>0</x:v>
      </x:c>
      <x:c r="F401" s="54" t="b">
        <x:f>COUNTIF('BOM'!$B$4:$B$531,A401)&gt;0</x:f>
        <x:v>1</x:v>
      </x:c>
      <x:c r="G401" s="54" t="str">
        <x:f>IF(COUNTIF($A$4:$A$431,A401)=1,"OK","DUPLICATE SKU")</x:f>
        <x:v>OK</x:v>
      </x:c>
      <x:c r="H401"/>
    </x:row>
    <x:row r="402">
      <x:c r="A402" s="54" t="str">
        <x:v>ASM-0059</x:v>
      </x:c>
      <x:c r="B402" s="54" t="str">
        <x:v>Captain's Berth and Bedding</x:v>
      </x:c>
      <x:c r="C402" s="54" t="str">
        <x:v>TEXTILES</x:v>
      </x:c>
      <x:c r="D402" s="67" t="str">
        <x:v>020171803996</x:v>
      </x:c>
      <x:c r="E402" s="54" t="b">
        <x:f>COUNTIF('BOM'!$A$4:$A$531,A402)&gt;0</x:f>
        <x:v>0</x:v>
      </x:c>
      <x:c r="F402" s="54" t="b">
        <x:f>COUNTIF('BOM'!$B$4:$B$531,A402)&gt;0</x:f>
        <x:v>1</x:v>
      </x:c>
      <x:c r="G402" s="54" t="str">
        <x:f>IF(COUNTIF($A$4:$A$431,A402)=1,"OK","DUPLICATE SKU")</x:f>
        <x:v>OK</x:v>
      </x:c>
      <x:c r="H402"/>
    </x:row>
    <x:row r="403">
      <x:c r="A403" s="54" t="str">
        <x:v>ASM-0060</x:v>
      </x:c>
      <x:c r="B403" s="54" t="str">
        <x:v>Portable Writing Desk</x:v>
      </x:c>
      <x:c r="C403" s="54" t="str">
        <x:v>CARPENTER</x:v>
      </x:c>
      <x:c r="D403" s="67" t="str">
        <x:v>020171804009</x:v>
      </x:c>
      <x:c r="E403" s="54" t="b">
        <x:f>COUNTIF('BOM'!$A$4:$A$531,A403)&gt;0</x:f>
        <x:v>0</x:v>
      </x:c>
      <x:c r="F403" s="54" t="b">
        <x:f>COUNTIF('BOM'!$B$4:$B$531,A403)&gt;0</x:f>
        <x:v>1</x:v>
      </x:c>
      <x:c r="G403" s="54" t="str">
        <x:f>IF(COUNTIF($A$4:$A$431,A403)=1,"OK","DUPLICATE SKU")</x:f>
        <x:v>OK</x:v>
      </x:c>
      <x:c r="H403"/>
    </x:row>
    <x:row r="404">
      <x:c r="A404" s="54" t="str">
        <x:v>PKG-0016</x:v>
      </x:c>
      <x:c r="B404" s="54" t="str">
        <x:v>Ink Horn</x:v>
      </x:c>
      <x:c r="C404" s="54" t="str">
        <x:v>QUARTER</x:v>
      </x:c>
      <x:c r="D404" s="67" t="str">
        <x:v>020171804016</x:v>
      </x:c>
      <x:c r="E404" s="54" t="b">
        <x:f>COUNTIF('BOM'!$A$4:$A$531,A404)&gt;0</x:f>
        <x:v>0</x:v>
      </x:c>
      <x:c r="F404" s="54" t="b">
        <x:f>COUNTIF('BOM'!$B$4:$B$531,A404)&gt;0</x:f>
        <x:v>1</x:v>
      </x:c>
      <x:c r="G404" s="54" t="str">
        <x:f>IF(COUNTIF($A$4:$A$431,A404)=1,"OK","DUPLICATE SKU")</x:f>
        <x:v>OK</x:v>
      </x:c>
      <x:c r="H404"/>
    </x:row>
    <x:row r="405">
      <x:c r="A405" s="54" t="str">
        <x:v>MAT-0039</x:v>
      </x:c>
      <x:c r="B405" s="54" t="str">
        <x:v>Writing Quill</x:v>
      </x:c>
      <x:c r="C405" s="54" t="str">
        <x:v>QUARTER</x:v>
      </x:c>
      <x:c r="D405" s="67" t="str">
        <x:v>020171804023</x:v>
      </x:c>
      <x:c r="E405" s="54" t="b">
        <x:f>COUNTIF('BOM'!$A$4:$A$531,A405)&gt;0</x:f>
        <x:v>0</x:v>
      </x:c>
      <x:c r="F405" s="54" t="b">
        <x:f>COUNTIF('BOM'!$B$4:$B$531,A405)&gt;0</x:f>
        <x:v>1</x:v>
      </x:c>
      <x:c r="G405" s="54" t="str">
        <x:f>IF(COUNTIF($A$4:$A$431,A405)=1,"OK","DUPLICATE SKU")</x:f>
        <x:v>OK</x:v>
      </x:c>
      <x:c r="H405"/>
    </x:row>
    <x:row r="406">
      <x:c r="A406" s="54" t="str">
        <x:v>DOC-0002</x:v>
      </x:c>
      <x:c r="B406" s="54" t="str">
        <x:v>Quartermaster's Stores Ledger</x:v>
      </x:c>
      <x:c r="C406" s="54" t="str">
        <x:v>QUARTER</x:v>
      </x:c>
      <x:c r="D406" s="67" t="str">
        <x:v>020171804030</x:v>
      </x:c>
      <x:c r="E406" s="54" t="b">
        <x:f>COUNTIF('BOM'!$A$4:$A$531,A406)&gt;0</x:f>
        <x:v>0</x:v>
      </x:c>
      <x:c r="F406" s="54" t="b">
        <x:f>COUNTIF('BOM'!$B$4:$B$531,A406)&gt;0</x:f>
        <x:v>1</x:v>
      </x:c>
      <x:c r="G406" s="54" t="str">
        <x:f>IF(COUNTIF($A$4:$A$431,A406)=1,"OK","DUPLICATE SKU")</x:f>
        <x:v>OK</x:v>
      </x:c>
      <x:c r="H406"/>
    </x:row>
    <x:row r="407">
      <x:c r="A407" s="54" t="str">
        <x:v>DOC-0003</x:v>
      </x:c>
      <x:c r="B407" s="54" t="str">
        <x:v>Crew Muster and Watch Book</x:v>
      </x:c>
      <x:c r="C407" s="54" t="str">
        <x:v>QUARTER</x:v>
      </x:c>
      <x:c r="D407" s="67" t="str">
        <x:v>020171804047</x:v>
      </x:c>
      <x:c r="E407" s="54" t="b">
        <x:f>COUNTIF('BOM'!$A$4:$A$531,A407)&gt;0</x:f>
        <x:v>0</x:v>
      </x:c>
      <x:c r="F407" s="54" t="b">
        <x:f>COUNTIF('BOM'!$B$4:$B$531,A407)&gt;0</x:f>
        <x:v>1</x:v>
      </x:c>
      <x:c r="G407" s="54" t="str">
        <x:f>IF(COUNTIF($A$4:$A$431,A407)=1,"OK","DUPLICATE SKU")</x:f>
        <x:v>OK</x:v>
      </x:c>
      <x:c r="H407"/>
    </x:row>
    <x:row r="408">
      <x:c r="A408" s="54" t="str">
        <x:v>MAT-0040</x:v>
      </x:c>
      <x:c r="B408" s="54" t="str">
        <x:v>Sealing Wax Stick</x:v>
      </x:c>
      <x:c r="C408" s="54" t="str">
        <x:v>QUARTER</x:v>
      </x:c>
      <x:c r="D408" s="67" t="str">
        <x:v>020171804054</x:v>
      </x:c>
      <x:c r="E408" s="54" t="b">
        <x:f>COUNTIF('BOM'!$A$4:$A$531,A408)&gt;0</x:f>
        <x:v>0</x:v>
      </x:c>
      <x:c r="F408" s="54" t="b">
        <x:f>COUNTIF('BOM'!$B$4:$B$531,A408)&gt;0</x:f>
        <x:v>1</x:v>
      </x:c>
      <x:c r="G408" s="54" t="str">
        <x:f>IF(COUNTIF($A$4:$A$431,A408)=1,"OK","DUPLICATE SKU")</x:f>
        <x:v>OK</x:v>
      </x:c>
      <x:c r="H408"/>
    </x:row>
    <x:row r="409">
      <x:c r="A409" s="54" t="str">
        <x:v>KIT-0046</x:v>
      </x:c>
      <x:c r="B409" s="54" t="str">
        <x:v>Brass Trade Weight Set</x:v>
      </x:c>
      <x:c r="C409" s="54" t="str">
        <x:v>QUARTER</x:v>
      </x:c>
      <x:c r="D409" s="67" t="str">
        <x:v>020171804061</x:v>
      </x:c>
      <x:c r="E409" s="54" t="b">
        <x:f>COUNTIF('BOM'!$A$4:$A$531,A409)&gt;0</x:f>
        <x:v>0</x:v>
      </x:c>
      <x:c r="F409" s="54" t="b">
        <x:f>COUNTIF('BOM'!$B$4:$B$531,A409)&gt;0</x:f>
        <x:v>1</x:v>
      </x:c>
      <x:c r="G409" s="54" t="str">
        <x:f>IF(COUNTIF($A$4:$A$431,A409)=1,"OK","DUPLICATE SKU")</x:f>
        <x:v>OK</x:v>
      </x:c>
      <x:c r="H409"/>
    </x:row>
    <x:row r="410">
      <x:c r="A410" s="54" t="str">
        <x:v>ASM-0061</x:v>
      </x:c>
      <x:c r="B410" s="54" t="str">
        <x:v>Portable Beam Scale</x:v>
      </x:c>
      <x:c r="C410" s="54" t="str">
        <x:v>QUARTER</x:v>
      </x:c>
      <x:c r="D410" s="67" t="str">
        <x:v>020171804078</x:v>
      </x:c>
      <x:c r="E410" s="54" t="b">
        <x:f>COUNTIF('BOM'!$A$4:$A$531,A410)&gt;0</x:f>
        <x:v>0</x:v>
      </x:c>
      <x:c r="F410" s="54" t="b">
        <x:f>COUNTIF('BOM'!$B$4:$B$531,A410)&gt;0</x:f>
        <x:v>1</x:v>
      </x:c>
      <x:c r="G410" s="54" t="str">
        <x:f>IF(COUNTIF($A$4:$A$431,A410)=1,"OK","DUPLICATE SKU")</x:f>
        <x:v>OK</x:v>
      </x:c>
      <x:c r="H410"/>
    </x:row>
    <x:row r="411">
      <x:c r="A411" s="54" t="str">
        <x:v>OFT-0024</x:v>
      </x:c>
      <x:c r="B411" s="54" t="str">
        <x:v>Fire Response Outfit</x:v>
      </x:c>
      <x:c r="C411" s="54" t="str">
        <x:v>BOATSWAIN</x:v>
      </x:c>
      <x:c r="D411" s="67" t="str">
        <x:v>020171804085</x:v>
      </x:c>
      <x:c r="E411" s="54" t="b">
        <x:f>COUNTIF('BOM'!$A$4:$A$531,A411)&gt;0</x:f>
        <x:v>1</x:v>
      </x:c>
      <x:c r="F411" s="54" t="b">
        <x:f>COUNTIF('BOM'!$B$4:$B$531,A411)&gt;0</x:f>
        <x:v>1</x:v>
      </x:c>
      <x:c r="G411" s="54" t="str">
        <x:f>IF(COUNTIF($A$4:$A$431,A411)=1,"OK","DUPLICATE SKU")</x:f>
        <x:v>OK</x:v>
      </x:c>
      <x:c r="H411"/>
    </x:row>
    <x:row r="412">
      <x:c r="A412" s="54" t="str">
        <x:v>OFT-0025</x:v>
      </x:c>
      <x:c r="B412" s="54" t="str">
        <x:v>Flood and Collision Response Outfit</x:v>
      </x:c>
      <x:c r="C412" s="54" t="str">
        <x:v>BOATSWAIN</x:v>
      </x:c>
      <x:c r="D412" s="67" t="str">
        <x:v>020171804092</x:v>
      </x:c>
      <x:c r="E412" s="54" t="b">
        <x:f>COUNTIF('BOM'!$A$4:$A$531,A412)&gt;0</x:f>
        <x:v>1</x:v>
      </x:c>
      <x:c r="F412" s="54" t="b">
        <x:f>COUNTIF('BOM'!$B$4:$B$531,A412)&gt;0</x:f>
        <x:v>1</x:v>
      </x:c>
      <x:c r="G412" s="54" t="str">
        <x:f>IF(COUNTIF($A$4:$A$431,A412)=1,"OK","DUPLICATE SKU")</x:f>
        <x:v>OK</x:v>
      </x:c>
      <x:c r="H412"/>
    </x:row>
    <x:row r="413">
      <x:c r="A413" s="54" t="str">
        <x:v>OFT-0026</x:v>
      </x:c>
      <x:c r="B413" s="54" t="str">
        <x:v>Abandon-Ship Emergency Stores</x:v>
      </x:c>
      <x:c r="C413" s="54" t="str">
        <x:v>BOATSWAIN</x:v>
      </x:c>
      <x:c r="D413" s="67" t="str">
        <x:v>020171804108</x:v>
      </x:c>
      <x:c r="E413" s="54" t="b">
        <x:f>COUNTIF('BOM'!$A$4:$A$531,A413)&gt;0</x:f>
        <x:v>1</x:v>
      </x:c>
      <x:c r="F413" s="54" t="b">
        <x:f>COUNTIF('BOM'!$B$4:$B$531,A413)&gt;0</x:f>
        <x:v>1</x:v>
      </x:c>
      <x:c r="G413" s="54" t="str">
        <x:f>IF(COUNTIF($A$4:$A$431,A413)=1,"OK","DUPLICATE SKU")</x:f>
        <x:v>OK</x:v>
      </x:c>
      <x:c r="H413"/>
    </x:row>
    <x:row r="414">
      <x:c r="A414" s="54" t="str">
        <x:v>PRT-0154</x:v>
      </x:c>
      <x:c r="B414" s="54" t="str">
        <x:v>Leather Fire Bucket</x:v>
      </x:c>
      <x:c r="C414" s="54" t="str">
        <x:v>LEATHER</x:v>
      </x:c>
      <x:c r="D414" s="67" t="str">
        <x:v>020171804115</x:v>
      </x:c>
      <x:c r="E414" s="54" t="b">
        <x:f>COUNTIF('BOM'!$A$4:$A$531,A414)&gt;0</x:f>
        <x:v>0</x:v>
      </x:c>
      <x:c r="F414" s="54" t="b">
        <x:f>COUNTIF('BOM'!$B$4:$B$531,A414)&gt;0</x:f>
        <x:v>1</x:v>
      </x:c>
      <x:c r="G414" s="54" t="str">
        <x:f>IF(COUNTIF($A$4:$A$431,A414)=1,"OK","DUPLICATE SKU")</x:f>
        <x:v>OK</x:v>
      </x:c>
      <x:c r="H414"/>
    </x:row>
    <x:row r="415">
      <x:c r="A415" s="54" t="str">
        <x:v>ASM-0062</x:v>
      </x:c>
      <x:c r="B415" s="54" t="str">
        <x:v>Fire Sand Tub, Filled</x:v>
      </x:c>
      <x:c r="C415" s="54" t="str">
        <x:v>CARPENTER</x:v>
      </x:c>
      <x:c r="D415" s="67" t="str">
        <x:v>020171804122</x:v>
      </x:c>
      <x:c r="E415" s="54" t="b">
        <x:f>COUNTIF('BOM'!$A$4:$A$531,A415)&gt;0</x:f>
        <x:v>0</x:v>
      </x:c>
      <x:c r="F415" s="54" t="b">
        <x:f>COUNTIF('BOM'!$B$4:$B$531,A415)&gt;0</x:f>
        <x:v>1</x:v>
      </x:c>
      <x:c r="G415" s="54" t="str">
        <x:f>IF(COUNTIF($A$4:$A$431,A415)=1,"OK","DUPLICATE SKU")</x:f>
        <x:v>OK</x:v>
      </x:c>
      <x:c r="H415"/>
    </x:row>
    <x:row r="416">
      <x:c r="A416" s="54" t="str">
        <x:v>PRT-0155</x:v>
      </x:c>
      <x:c r="B416" s="54" t="str">
        <x:v>Fire Axe</x:v>
      </x:c>
      <x:c r="C416" s="54" t="str">
        <x:v>CARPENTER</x:v>
      </x:c>
      <x:c r="D416" s="67" t="str">
        <x:v>020171804139</x:v>
      </x:c>
      <x:c r="E416" s="54" t="b">
        <x:f>COUNTIF('BOM'!$A$4:$A$531,A416)&gt;0</x:f>
        <x:v>0</x:v>
      </x:c>
      <x:c r="F416" s="54" t="b">
        <x:f>COUNTIF('BOM'!$B$4:$B$531,A416)&gt;0</x:f>
        <x:v>1</x:v>
      </x:c>
      <x:c r="G416" s="54" t="str">
        <x:f>IF(COUNTIF($A$4:$A$431,A416)=1,"OK","DUPLICATE SKU")</x:f>
        <x:v>OK</x:v>
      </x:c>
      <x:c r="H416"/>
    </x:row>
    <x:row r="417">
      <x:c r="A417" s="54" t="str">
        <x:v>PRT-0156</x:v>
      </x:c>
      <x:c r="B417" s="54" t="str">
        <x:v>Heavy Wool Fire Blanket</x:v>
      </x:c>
      <x:c r="C417" s="54" t="str">
        <x:v>TEXTILES</x:v>
      </x:c>
      <x:c r="D417" s="67" t="str">
        <x:v>020171804146</x:v>
      </x:c>
      <x:c r="E417" s="54" t="b">
        <x:f>COUNTIF('BOM'!$A$4:$A$531,A417)&gt;0</x:f>
        <x:v>0</x:v>
      </x:c>
      <x:c r="F417" s="54" t="b">
        <x:f>COUNTIF('BOM'!$B$4:$B$531,A417)&gt;0</x:f>
        <x:v>1</x:v>
      </x:c>
      <x:c r="G417" s="54" t="str">
        <x:f>IF(COUNTIF($A$4:$A$431,A417)=1,"OK","DUPLICATE SKU")</x:f>
        <x:v>OK</x:v>
      </x:c>
      <x:c r="H417"/>
    </x:row>
    <x:row r="418">
      <x:c r="A418" s="54" t="str">
        <x:v>KIT-0047</x:v>
      </x:c>
      <x:c r="B418" s="54" t="str">
        <x:v>Tapered Hull Plug Kit</x:v>
      </x:c>
      <x:c r="C418" s="54" t="str">
        <x:v>CARPENTER</x:v>
      </x:c>
      <x:c r="D418" s="67" t="str">
        <x:v>020171804153</x:v>
      </x:c>
      <x:c r="E418" s="54" t="b">
        <x:f>COUNTIF('BOM'!$A$4:$A$531,A418)&gt;0</x:f>
        <x:v>0</x:v>
      </x:c>
      <x:c r="F418" s="54" t="b">
        <x:f>COUNTIF('BOM'!$B$4:$B$531,A418)&gt;0</x:f>
        <x:v>1</x:v>
      </x:c>
      <x:c r="G418" s="54" t="str">
        <x:f>IF(COUNTIF($A$4:$A$431,A418)=1,"OK","DUPLICATE SKU")</x:f>
        <x:v>OK</x:v>
      </x:c>
      <x:c r="H418"/>
    </x:row>
    <x:row r="419">
      <x:c r="A419" s="54" t="str">
        <x:v>ASM-0063</x:v>
      </x:c>
      <x:c r="B419" s="54" t="str">
        <x:v>Collision Mat and Rigging</x:v>
      </x:c>
      <x:c r="C419" s="54" t="str">
        <x:v>SAILLOFT</x:v>
      </x:c>
      <x:c r="D419" s="67" t="str">
        <x:v>020171804160</x:v>
      </x:c>
      <x:c r="E419" s="54" t="b">
        <x:f>COUNTIF('BOM'!$A$4:$A$531,A419)&gt;0</x:f>
        <x:v>0</x:v>
      </x:c>
      <x:c r="F419" s="54" t="b">
        <x:f>COUNTIF('BOM'!$B$4:$B$531,A419)&gt;0</x:f>
        <x:v>1</x:v>
      </x:c>
      <x:c r="G419" s="54" t="str">
        <x:f>IF(COUNTIF($A$4:$A$431,A419)=1,"OK","DUPLICATE SKU")</x:f>
        <x:v>OK</x:v>
      </x:c>
      <x:c r="H419"/>
    </x:row>
    <x:row r="420">
      <x:c r="A420" s="54" t="str">
        <x:v>KIT-0048</x:v>
      </x:c>
      <x:c r="B420" s="54" t="str">
        <x:v>Emergency Provision Chest</x:v>
      </x:c>
      <x:c r="C420" s="54" t="str">
        <x:v>QUARTER</x:v>
      </x:c>
      <x:c r="D420" s="67" t="str">
        <x:v>020171804177</x:v>
      </x:c>
      <x:c r="E420" s="54" t="b">
        <x:f>COUNTIF('BOM'!$A$4:$A$531,A420)&gt;0</x:f>
        <x:v>1</x:v>
      </x:c>
      <x:c r="F420" s="54" t="b">
        <x:f>COUNTIF('BOM'!$B$4:$B$531,A420)&gt;0</x:f>
        <x:v>1</x:v>
      </x:c>
      <x:c r="G420" s="54" t="str">
        <x:f>IF(COUNTIF($A$4:$A$431,A420)=1,"OK","DUPLICATE SKU")</x:f>
        <x:v>OK</x:v>
      </x:c>
      <x:c r="H420"/>
    </x:row>
    <x:row r="421">
      <x:c r="A421" s="54" t="str">
        <x:v>PKG-0017</x:v>
      </x:c>
      <x:c r="B421" s="54" t="str">
        <x:v>Emergency Water Breaker, 20 gal</x:v>
      </x:c>
      <x:c r="C421" s="54" t="str">
        <x:v>COOPER</x:v>
      </x:c>
      <x:c r="D421" s="67" t="str">
        <x:v>020171804184</x:v>
      </x:c>
      <x:c r="E421" s="54" t="b">
        <x:f>COUNTIF('BOM'!$A$4:$A$531,A421)&gt;0</x:f>
        <x:v>0</x:v>
      </x:c>
      <x:c r="F421" s="54" t="b">
        <x:f>COUNTIF('BOM'!$B$4:$B$531,A421)&gt;0</x:f>
        <x:v>1</x:v>
      </x:c>
      <x:c r="G421" s="54" t="str">
        <x:f>IF(COUNTIF($A$4:$A$431,A421)=1,"OK","DUPLICATE SKU")</x:f>
        <x:v>OK</x:v>
      </x:c>
      <x:c r="H421"/>
    </x:row>
    <x:row r="422">
      <x:c r="A422" s="54" t="str">
        <x:v>LBL-0012</x:v>
      </x:c>
      <x:c r="B422" s="54" t="str">
        <x:v>Safety Label - Fire Station</x:v>
      </x:c>
      <x:c r="C422" s="54" t="str">
        <x:v>LABELSHOP</x:v>
      </x:c>
      <x:c r="D422" s="67" t="str">
        <x:v>020171804191</x:v>
      </x:c>
      <x:c r="E422" s="54" t="b">
        <x:f>COUNTIF('BOM'!$A$4:$A$531,A422)&gt;0</x:f>
        <x:v>0</x:v>
      </x:c>
      <x:c r="F422" s="54" t="b">
        <x:f>COUNTIF('BOM'!$B$4:$B$531,A422)&gt;0</x:f>
        <x:v>1</x:v>
      </x:c>
      <x:c r="G422" s="54" t="str">
        <x:f>IF(COUNTIF($A$4:$A$431,A422)=1,"OK","DUPLICATE SKU")</x:f>
        <x:v>OK</x:v>
      </x:c>
      <x:c r="H422"/>
    </x:row>
    <x:row r="423">
      <x:c r="A423" s="54" t="str">
        <x:v>LBL-0013</x:v>
      </x:c>
      <x:c r="B423" s="54" t="str">
        <x:v>Safety Label - Flood Response Kit</x:v>
      </x:c>
      <x:c r="C423" s="54" t="str">
        <x:v>LABELSHOP</x:v>
      </x:c>
      <x:c r="D423" s="67" t="str">
        <x:v>020171804207</x:v>
      </x:c>
      <x:c r="E423" s="54" t="b">
        <x:f>COUNTIF('BOM'!$A$4:$A$531,A423)&gt;0</x:f>
        <x:v>0</x:v>
      </x:c>
      <x:c r="F423" s="54" t="b">
        <x:f>COUNTIF('BOM'!$B$4:$B$531,A423)&gt;0</x:f>
        <x:v>1</x:v>
      </x:c>
      <x:c r="G423" s="54" t="str">
        <x:f>IF(COUNTIF($A$4:$A$431,A423)=1,"OK","DUPLICATE SKU")</x:f>
        <x:v>OK</x:v>
      </x:c>
      <x:c r="H423"/>
    </x:row>
    <x:row r="424">
      <x:c r="A424" s="54" t="str">
        <x:v>LBL-0014</x:v>
      </x:c>
      <x:c r="B424" s="54" t="str">
        <x:v>General Kit Identification Label</x:v>
      </x:c>
      <x:c r="C424" s="54" t="str">
        <x:v>LABELSHOP</x:v>
      </x:c>
      <x:c r="D424" s="67" t="str">
        <x:v>020171804214</x:v>
      </x:c>
      <x:c r="E424" s="54" t="b">
        <x:f>COUNTIF('BOM'!$A$4:$A$531,A424)&gt;0</x:f>
        <x:v>0</x:v>
      </x:c>
      <x:c r="F424" s="54" t="b">
        <x:f>COUNTIF('BOM'!$B$4:$B$531,A424)&gt;0</x:f>
        <x:v>1</x:v>
      </x:c>
      <x:c r="G424" s="54" t="str">
        <x:f>IF(COUNTIF($A$4:$A$431,A424)=1,"OK","DUPLICATE SKU")</x:f>
        <x:v>OK</x:v>
      </x:c>
      <x:c r="H424"/>
    </x:row>
    <x:row r="425">
      <x:c r="A425" s="54" t="str">
        <x:v>LBL-0015</x:v>
      </x:c>
      <x:c r="B425" s="54" t="str">
        <x:v>Inspection Status Label</x:v>
      </x:c>
      <x:c r="C425" s="54" t="str">
        <x:v>LABELSHOP</x:v>
      </x:c>
      <x:c r="D425" s="67" t="str">
        <x:v>020171804221</x:v>
      </x:c>
      <x:c r="E425" s="54" t="b">
        <x:f>COUNTIF('BOM'!$A$4:$A$531,A425)&gt;0</x:f>
        <x:v>0</x:v>
      </x:c>
      <x:c r="F425" s="54" t="b">
        <x:f>COUNTIF('BOM'!$B$4:$B$531,A425)&gt;0</x:f>
        <x:v>1</x:v>
      </x:c>
      <x:c r="G425" s="54" t="str">
        <x:f>IF(COUNTIF($A$4:$A$431,A425)=1,"OK","DUPLICATE SKU")</x:f>
        <x:v>OK</x:v>
      </x:c>
      <x:c r="H425"/>
    </x:row>
    <x:row r="426">
      <x:c r="A426" s="54" t="str">
        <x:v>LBL-0016</x:v>
      </x:c>
      <x:c r="B426" s="54" t="str">
        <x:v>Stowage Location Label</x:v>
      </x:c>
      <x:c r="C426" s="54" t="str">
        <x:v>LABELSHOP</x:v>
      </x:c>
      <x:c r="D426" s="67" t="str">
        <x:v>020171804238</x:v>
      </x:c>
      <x:c r="E426" s="54" t="b">
        <x:f>COUNTIF('BOM'!$A$4:$A$531,A426)&gt;0</x:f>
        <x:v>0</x:v>
      </x:c>
      <x:c r="F426" s="54" t="b">
        <x:f>COUNTIF('BOM'!$B$4:$B$531,A426)&gt;0</x:f>
        <x:v>1</x:v>
      </x:c>
      <x:c r="G426" s="54" t="str">
        <x:f>IF(COUNTIF($A$4:$A$431,A426)=1,"OK","DUPLICATE SKU")</x:f>
        <x:v>OK</x:v>
      </x:c>
      <x:c r="H426"/>
    </x:row>
    <x:row r="427">
      <x:c r="A427" s="54" t="str">
        <x:v>LBL-0017</x:v>
      </x:c>
      <x:c r="B427" s="54" t="str">
        <x:v>Safety Label - Keep Dry</x:v>
      </x:c>
      <x:c r="C427" s="54" t="str">
        <x:v>LABELSHOP</x:v>
      </x:c>
      <x:c r="D427" s="67" t="str">
        <x:v>020171804245</x:v>
      </x:c>
      <x:c r="E427" s="54" t="b">
        <x:f>COUNTIF('BOM'!$A$4:$A$531,A427)&gt;0</x:f>
        <x:v>0</x:v>
      </x:c>
      <x:c r="F427" s="54" t="b">
        <x:f>COUNTIF('BOM'!$B$4:$B$531,A427)&gt;0</x:f>
        <x:v>1</x:v>
      </x:c>
      <x:c r="G427" s="54" t="str">
        <x:f>IF(COUNTIF($A$4:$A$431,A427)=1,"OK","DUPLICATE SKU")</x:f>
        <x:v>OK</x:v>
      </x:c>
      <x:c r="H427"/>
    </x:row>
    <x:row r="428">
      <x:c r="A428" s="54" t="str">
        <x:v>LBL-0018</x:v>
      </x:c>
      <x:c r="B428" s="54" t="str">
        <x:v>Safety Label - Incomplete / Do Not Issue</x:v>
      </x:c>
      <x:c r="C428" s="54" t="str">
        <x:v>LABELSHOP</x:v>
      </x:c>
      <x:c r="D428" s="67" t="str">
        <x:v>020171804252</x:v>
      </x:c>
      <x:c r="E428" s="54" t="b">
        <x:f>COUNTIF('BOM'!$A$4:$A$531,A428)&gt;0</x:f>
        <x:v>0</x:v>
      </x:c>
      <x:c r="F428" s="54" t="b">
        <x:f>COUNTIF('BOM'!$B$4:$B$531,A428)&gt;0</x:f>
        <x:v>1</x:v>
      </x:c>
      <x:c r="G428" s="54" t="str">
        <x:f>IF(COUNTIF($A$4:$A$431,A428)=1,"OK","DUPLICATE SKU")</x:f>
        <x:v>OK</x:v>
      </x:c>
      <x:c r="H428"/>
    </x:row>
    <x:row r="429">
      <x:c r="A429" s="54" t="str">
        <x:v>LBL-0019</x:v>
      </x:c>
      <x:c r="B429" s="54" t="str">
        <x:v>Readiness Label - Packed and Approved</x:v>
      </x:c>
      <x:c r="C429" s="54" t="str">
        <x:v>LABELSHOP</x:v>
      </x:c>
      <x:c r="D429" s="67" t="str">
        <x:v>020171804269</x:v>
      </x:c>
      <x:c r="E429" s="54" t="b">
        <x:f>COUNTIF('BOM'!$A$4:$A$531,A429)&gt;0</x:f>
        <x:v>0</x:v>
      </x:c>
      <x:c r="F429" s="54" t="b">
        <x:f>COUNTIF('BOM'!$B$4:$B$531,A429)&gt;0</x:f>
        <x:v>1</x:v>
      </x:c>
      <x:c r="G429" s="54" t="str">
        <x:f>IF(COUNTIF($A$4:$A$431,A429)=1,"OK","DUPLICATE SKU")</x:f>
        <x:v>OK</x:v>
      </x:c>
      <x:c r="H429"/>
    </x:row>
    <x:row r="430">
      <x:c r="A430" s="54" t="str">
        <x:v>MAT-0041</x:v>
      </x:c>
      <x:c r="B430" s="54" t="str">
        <x:v>Blank Label Stock Sheet</x:v>
      </x:c>
      <x:c r="C430" s="54" t="str">
        <x:v>LABELSHOP</x:v>
      </x:c>
      <x:c r="D430" s="67" t="str">
        <x:v>020171804276</x:v>
      </x:c>
      <x:c r="E430" s="54" t="b">
        <x:f>COUNTIF('BOM'!$A$4:$A$531,A430)&gt;0</x:f>
        <x:v>0</x:v>
      </x:c>
      <x:c r="F430" s="54" t="b">
        <x:f>COUNTIF('BOM'!$B$4:$B$531,A430)&gt;0</x:f>
        <x:v>1</x:v>
      </x:c>
      <x:c r="G430" s="54" t="str">
        <x:f>IF(COUNTIF($A$4:$A$431,A430)=1,"OK","DUPLICATE SKU")</x:f>
        <x:v>OK</x:v>
      </x:c>
      <x:c r="H430"/>
    </x:row>
    <x:row r="431">
      <x:c r="A431" s="54" t="str">
        <x:v>MAT-0042</x:v>
      </x:c>
      <x:c r="B431" s="54" t="str">
        <x:v>Tamper-Evident Reconstruction Seal</x:v>
      </x:c>
      <x:c r="C431" s="54" t="str">
        <x:v>LABELSHOP</x:v>
      </x:c>
      <x:c r="D431" s="67" t="str">
        <x:v>020171804283</x:v>
      </x:c>
      <x:c r="E431" s="54" t="b">
        <x:f>COUNTIF('BOM'!$A$4:$A$531,A431)&gt;0</x:f>
        <x:v>0</x:v>
      </x:c>
      <x:c r="F431" s="54" t="b">
        <x:f>COUNTIF('BOM'!$B$4:$B$531,A431)&gt;0</x:f>
        <x:v>1</x:v>
      </x:c>
      <x:c r="G431" s="54" t="str">
        <x:f>IF(COUNTIF($A$4:$A$431,A431)=1,"OK","DUPLICATE SKU")</x:f>
        <x:v>OK</x:v>
      </x:c>
      <x:c r="H431"/>
    </x:row>
  </x:sheetData>
  <x:mergeCells>
    <x:mergeCell ref="A1:G1"/>
    <x:mergeCell ref="A2:G2"/>
  </x:mergeCells>
  <x:conditionalFormatting sqref="G4:G431">
    <x:cfRule type="expression" dxfId="5" priority="1">
      <x:formula>G4&lt;&gt;"OK"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BOM IMPORT</x:v>
      </x:c>
      <x:c r="B1" s="3"/>
      <x:c r="C1" s="3"/>
      <x:c r="D1" s="3"/>
      <x:c r="E1" s="3"/>
      <x:c r="F1" s="3"/>
      <x:c r="G1" s="3"/>
    </x:row>
    <x:row r="2" ht="28" customHeight="1">
      <x:c r="A2" s="6" t="str">
        <x:v>Exact three-column Buildbooks-compatible relationship file with workbook-only reference checks</x:v>
      </x:c>
      <x:c r="B2" s="6"/>
      <x:c r="C2" s="6"/>
      <x:c r="D2" s="6"/>
      <x:c r="E2" s="6"/>
      <x:c r="F2" s="6"/>
      <x:c r="G2" s="6"/>
    </x:row>
    <x:row r="3" ht="25" customHeight="1">
      <x:c r="A3" s="60" t="str">
        <x:v>AssemblySKU</x:v>
      </x:c>
      <x:c r="B3" s="61" t="str">
        <x:v>PartSKU</x:v>
      </x:c>
      <x:c r="C3" s="61" t="str">
        <x:v>Quantity</x:v>
      </x:c>
      <x:c r="D3" s="61" t="str">
        <x:v>Assembly Exists</x:v>
      </x:c>
      <x:c r="E3" s="61" t="str">
        <x:v>Part Exists</x:v>
      </x:c>
      <x:c r="F3" s="61" t="str">
        <x:v>Self Reference</x:v>
      </x:c>
      <x:c r="G3" s="62" t="str">
        <x:v>Row Status</x:v>
      </x:c>
    </x:row>
    <x:row r="4">
      <x:c r="A4" s="54" t="str">
        <x:v>QAR-0001</x:v>
      </x:c>
      <x:c r="B4" s="54" t="str">
        <x:v>QAR-0002</x:v>
      </x:c>
      <x:c r="C4" s="63" t="n">
        <x:v>1</x:v>
      </x:c>
      <x:c r="D4" s="54" t="b">
        <x:f>COUNTIF('Inventory'!$A$4:$A$431,A4)=1</x:f>
        <x:v>1</x:v>
      </x:c>
      <x:c r="E4" s="54" t="b">
        <x:f>COUNTIF('Inventory'!$A$4:$A$431,B4)=1</x:f>
        <x:v>1</x:v>
      </x:c>
      <x:c r="F4" s="54" t="b">
        <x:f>A4=B4</x:f>
        <x:v>0</x:v>
      </x:c>
      <x:c r="G4" s="54" t="str">
        <x:f>IF(AND(D4,E4,NOT(F4),C4&gt;0),"OK","CHECK")</x:f>
        <x:v>OK</x:v>
      </x:c>
    </x:row>
    <x:row r="5">
      <x:c r="A5" s="54" t="str">
        <x:v>QAR-0001</x:v>
      </x:c>
      <x:c r="B5" s="54" t="str">
        <x:v>QAR-0003</x:v>
      </x:c>
      <x:c r="C5" s="63" t="n">
        <x:v>1</x:v>
      </x:c>
      <x:c r="D5" s="54" t="b">
        <x:f>COUNTIF('Inventory'!$A$4:$A$431,A5)=1</x:f>
        <x:v>1</x:v>
      </x:c>
      <x:c r="E5" s="54" t="b">
        <x:f>COUNTIF('Inventory'!$A$4:$A$431,B5)=1</x:f>
        <x:v>1</x:v>
      </x:c>
      <x:c r="F5" s="54" t="b">
        <x:f>A5=B5</x:f>
        <x:v>0</x:v>
      </x:c>
      <x:c r="G5" s="54" t="str">
        <x:f>IF(AND(D5,E5,NOT(F5),C5&gt;0),"OK","CHECK")</x:f>
        <x:v>OK</x:v>
      </x:c>
    </x:row>
    <x:row r="6">
      <x:c r="A6" s="54" t="str">
        <x:v>QAR-0001</x:v>
      </x:c>
      <x:c r="B6" s="54" t="str">
        <x:v>QAR-0004</x:v>
      </x:c>
      <x:c r="C6" s="63" t="n">
        <x:v>1</x:v>
      </x:c>
      <x:c r="D6" s="54" t="b">
        <x:f>COUNTIF('Inventory'!$A$4:$A$431,A6)=1</x:f>
        <x:v>1</x:v>
      </x:c>
      <x:c r="E6" s="54" t="b">
        <x:f>COUNTIF('Inventory'!$A$4:$A$431,B6)=1</x:f>
        <x:v>1</x:v>
      </x:c>
      <x:c r="F6" s="54" t="b">
        <x:f>A6=B6</x:f>
        <x:v>0</x:v>
      </x:c>
      <x:c r="G6" s="54" t="str">
        <x:f>IF(AND(D6,E6,NOT(F6),C6&gt;0),"OK","CHECK")</x:f>
        <x:v>OK</x:v>
      </x:c>
    </x:row>
    <x:row r="7">
      <x:c r="A7" s="54" t="str">
        <x:v>QAR-0001</x:v>
      </x:c>
      <x:c r="B7" s="54" t="str">
        <x:v>QAR-0005</x:v>
      </x:c>
      <x:c r="C7" s="63" t="n">
        <x:v>1</x:v>
      </x:c>
      <x:c r="D7" s="54" t="b">
        <x:f>COUNTIF('Inventory'!$A$4:$A$431,A7)=1</x:f>
        <x:v>1</x:v>
      </x:c>
      <x:c r="E7" s="54" t="b">
        <x:f>COUNTIF('Inventory'!$A$4:$A$431,B7)=1</x:f>
        <x:v>1</x:v>
      </x:c>
      <x:c r="F7" s="54" t="b">
        <x:f>A7=B7</x:f>
        <x:v>0</x:v>
      </x:c>
      <x:c r="G7" s="54" t="str">
        <x:f>IF(AND(D7,E7,NOT(F7),C7&gt;0),"OK","CHECK")</x:f>
        <x:v>OK</x:v>
      </x:c>
    </x:row>
    <x:row r="8">
      <x:c r="A8" s="54" t="str">
        <x:v>QAR-0001</x:v>
      </x:c>
      <x:c r="B8" s="54" t="str">
        <x:v>QAR-0006</x:v>
      </x:c>
      <x:c r="C8" s="63" t="n">
        <x:v>1</x:v>
      </x:c>
      <x:c r="D8" s="54" t="b">
        <x:f>COUNTIF('Inventory'!$A$4:$A$431,A8)=1</x:f>
        <x:v>1</x:v>
      </x:c>
      <x:c r="E8" s="54" t="b">
        <x:f>COUNTIF('Inventory'!$A$4:$A$431,B8)=1</x:f>
        <x:v>1</x:v>
      </x:c>
      <x:c r="F8" s="54" t="b">
        <x:f>A8=B8</x:f>
        <x:v>0</x:v>
      </x:c>
      <x:c r="G8" s="54" t="str">
        <x:f>IF(AND(D8,E8,NOT(F8),C8&gt;0),"OK","CHECK")</x:f>
        <x:v>OK</x:v>
      </x:c>
    </x:row>
    <x:row r="9">
      <x:c r="A9" s="54" t="str">
        <x:v>QAR-0001</x:v>
      </x:c>
      <x:c r="B9" s="54" t="str">
        <x:v>QAR-0007</x:v>
      </x:c>
      <x:c r="C9" s="63" t="n">
        <x:v>1</x:v>
      </x:c>
      <x:c r="D9" s="54" t="b">
        <x:f>COUNTIF('Inventory'!$A$4:$A$431,A9)=1</x:f>
        <x:v>1</x:v>
      </x:c>
      <x:c r="E9" s="54" t="b">
        <x:f>COUNTIF('Inventory'!$A$4:$A$431,B9)=1</x:f>
        <x:v>1</x:v>
      </x:c>
      <x:c r="F9" s="54" t="b">
        <x:f>A9=B9</x:f>
        <x:v>0</x:v>
      </x:c>
      <x:c r="G9" s="54" t="str">
        <x:f>IF(AND(D9,E9,NOT(F9),C9&gt;0),"OK","CHECK")</x:f>
        <x:v>OK</x:v>
      </x:c>
    </x:row>
    <x:row r="10">
      <x:c r="A10" s="54" t="str">
        <x:v>QAR-0001</x:v>
      </x:c>
      <x:c r="B10" s="54" t="str">
        <x:v>QAR-0008</x:v>
      </x:c>
      <x:c r="C10" s="63" t="n">
        <x:v>1</x:v>
      </x:c>
      <x:c r="D10" s="54" t="b">
        <x:f>COUNTIF('Inventory'!$A$4:$A$431,A10)=1</x:f>
        <x:v>1</x:v>
      </x:c>
      <x:c r="E10" s="54" t="b">
        <x:f>COUNTIF('Inventory'!$A$4:$A$431,B10)=1</x:f>
        <x:v>1</x:v>
      </x:c>
      <x:c r="F10" s="54" t="b">
        <x:f>A10=B10</x:f>
        <x:v>0</x:v>
      </x:c>
      <x:c r="G10" s="54" t="str">
        <x:f>IF(AND(D10,E10,NOT(F10),C10&gt;0),"OK","CHECK")</x:f>
        <x:v>OK</x:v>
      </x:c>
    </x:row>
    <x:row r="11">
      <x:c r="A11" s="54" t="str">
        <x:v>QAR-0001</x:v>
      </x:c>
      <x:c r="B11" s="54" t="str">
        <x:v>QAR-0009</x:v>
      </x:c>
      <x:c r="C11" s="63" t="n">
        <x:v>1</x:v>
      </x:c>
      <x:c r="D11" s="54" t="b">
        <x:f>COUNTIF('Inventory'!$A$4:$A$431,A11)=1</x:f>
        <x:v>1</x:v>
      </x:c>
      <x:c r="E11" s="54" t="b">
        <x:f>COUNTIF('Inventory'!$A$4:$A$431,B11)=1</x:f>
        <x:v>1</x:v>
      </x:c>
      <x:c r="F11" s="54" t="b">
        <x:f>A11=B11</x:f>
        <x:v>0</x:v>
      </x:c>
      <x:c r="G11" s="54" t="str">
        <x:f>IF(AND(D11,E11,NOT(F11),C11&gt;0),"OK","CHECK")</x:f>
        <x:v>OK</x:v>
      </x:c>
    </x:row>
    <x:row r="12">
      <x:c r="A12" s="54" t="str">
        <x:v>QAR-0001</x:v>
      </x:c>
      <x:c r="B12" s="54" t="str">
        <x:v>QAR-0010</x:v>
      </x:c>
      <x:c r="C12" s="63" t="n">
        <x:v>1</x:v>
      </x:c>
      <x:c r="D12" s="54" t="b">
        <x:f>COUNTIF('Inventory'!$A$4:$A$431,A12)=1</x:f>
        <x:v>1</x:v>
      </x:c>
      <x:c r="E12" s="54" t="b">
        <x:f>COUNTIF('Inventory'!$A$4:$A$431,B12)=1</x:f>
        <x:v>1</x:v>
      </x:c>
      <x:c r="F12" s="54" t="b">
        <x:f>A12=B12</x:f>
        <x:v>0</x:v>
      </x:c>
      <x:c r="G12" s="54" t="str">
        <x:f>IF(AND(D12,E12,NOT(F12),C12&gt;0),"OK","CHECK")</x:f>
        <x:v>OK</x:v>
      </x:c>
    </x:row>
    <x:row r="13">
      <x:c r="A13" s="54" t="str">
        <x:v>QAR-0001</x:v>
      </x:c>
      <x:c r="B13" s="54" t="str">
        <x:v>QAR-0011</x:v>
      </x:c>
      <x:c r="C13" s="63" t="n">
        <x:v>1</x:v>
      </x:c>
      <x:c r="D13" s="54" t="b">
        <x:f>COUNTIF('Inventory'!$A$4:$A$431,A13)=1</x:f>
        <x:v>1</x:v>
      </x:c>
      <x:c r="E13" s="54" t="b">
        <x:f>COUNTIF('Inventory'!$A$4:$A$431,B13)=1</x:f>
        <x:v>1</x:v>
      </x:c>
      <x:c r="F13" s="54" t="b">
        <x:f>A13=B13</x:f>
        <x:v>0</x:v>
      </x:c>
      <x:c r="G13" s="54" t="str">
        <x:f>IF(AND(D13,E13,NOT(F13),C13&gt;0),"OK","CHECK")</x:f>
        <x:v>OK</x:v>
      </x:c>
    </x:row>
    <x:row r="14">
      <x:c r="A14" s="54" t="str">
        <x:v>QAR-0001</x:v>
      </x:c>
      <x:c r="B14" s="54" t="str">
        <x:v>QAR-0012</x:v>
      </x:c>
      <x:c r="C14" s="63" t="n">
        <x:v>1</x:v>
      </x:c>
      <x:c r="D14" s="54" t="b">
        <x:f>COUNTIF('Inventory'!$A$4:$A$431,A14)=1</x:f>
        <x:v>1</x:v>
      </x:c>
      <x:c r="E14" s="54" t="b">
        <x:f>COUNTIF('Inventory'!$A$4:$A$431,B14)=1</x:f>
        <x:v>1</x:v>
      </x:c>
      <x:c r="F14" s="54" t="b">
        <x:f>A14=B14</x:f>
        <x:v>0</x:v>
      </x:c>
      <x:c r="G14" s="54" t="str">
        <x:f>IF(AND(D14,E14,NOT(F14),C14&gt;0),"OK","CHECK")</x:f>
        <x:v>OK</x:v>
      </x:c>
    </x:row>
    <x:row r="15">
      <x:c r="A15" s="54" t="str">
        <x:v>QAR-0001</x:v>
      </x:c>
      <x:c r="B15" s="54" t="str">
        <x:v>QAR-0013</x:v>
      </x:c>
      <x:c r="C15" s="63" t="n">
        <x:v>1</x:v>
      </x:c>
      <x:c r="D15" s="54" t="b">
        <x:f>COUNTIF('Inventory'!$A$4:$A$431,A15)=1</x:f>
        <x:v>1</x:v>
      </x:c>
      <x:c r="E15" s="54" t="b">
        <x:f>COUNTIF('Inventory'!$A$4:$A$431,B15)=1</x:f>
        <x:v>1</x:v>
      </x:c>
      <x:c r="F15" s="54" t="b">
        <x:f>A15=B15</x:f>
        <x:v>0</x:v>
      </x:c>
      <x:c r="G15" s="54" t="str">
        <x:f>IF(AND(D15,E15,NOT(F15),C15&gt;0),"OK","CHECK")</x:f>
        <x:v>OK</x:v>
      </x:c>
    </x:row>
    <x:row r="16">
      <x:c r="A16" s="54" t="str">
        <x:v>QAR-0001</x:v>
      </x:c>
      <x:c r="B16" s="54" t="str">
        <x:v>QAR-0014</x:v>
      </x:c>
      <x:c r="C16" s="63" t="n">
        <x:v>1</x:v>
      </x:c>
      <x:c r="D16" s="54" t="b">
        <x:f>COUNTIF('Inventory'!$A$4:$A$431,A16)=1</x:f>
        <x:v>1</x:v>
      </x:c>
      <x:c r="E16" s="54" t="b">
        <x:f>COUNTIF('Inventory'!$A$4:$A$431,B16)=1</x:f>
        <x:v>1</x:v>
      </x:c>
      <x:c r="F16" s="54" t="b">
        <x:f>A16=B16</x:f>
        <x:v>0</x:v>
      </x:c>
      <x:c r="G16" s="54" t="str">
        <x:f>IF(AND(D16,E16,NOT(F16),C16&gt;0),"OK","CHECK")</x:f>
        <x:v>OK</x:v>
      </x:c>
    </x:row>
    <x:row r="17">
      <x:c r="A17" s="54" t="str">
        <x:v>QAR-0001</x:v>
      </x:c>
      <x:c r="B17" s="54" t="str">
        <x:v>QAR-0015</x:v>
      </x:c>
      <x:c r="C17" s="63" t="n">
        <x:v>1</x:v>
      </x:c>
      <x:c r="D17" s="54" t="b">
        <x:f>COUNTIF('Inventory'!$A$4:$A$431,A17)=1</x:f>
        <x:v>1</x:v>
      </x:c>
      <x:c r="E17" s="54" t="b">
        <x:f>COUNTIF('Inventory'!$A$4:$A$431,B17)=1</x:f>
        <x:v>1</x:v>
      </x:c>
      <x:c r="F17" s="54" t="b">
        <x:f>A17=B17</x:f>
        <x:v>0</x:v>
      </x:c>
      <x:c r="G17" s="54" t="str">
        <x:f>IF(AND(D17,E17,NOT(F17),C17&gt;0),"OK","CHECK")</x:f>
        <x:v>OK</x:v>
      </x:c>
    </x:row>
    <x:row r="18">
      <x:c r="A18" s="54" t="str">
        <x:v>QAR-0001</x:v>
      </x:c>
      <x:c r="B18" s="54" t="str">
        <x:v>QAR-0016</x:v>
      </x:c>
      <x:c r="C18" s="63" t="n">
        <x:v>1</x:v>
      </x:c>
      <x:c r="D18" s="54" t="b">
        <x:f>COUNTIF('Inventory'!$A$4:$A$431,A18)=1</x:f>
        <x:v>1</x:v>
      </x:c>
      <x:c r="E18" s="54" t="b">
        <x:f>COUNTIF('Inventory'!$A$4:$A$431,B18)=1</x:f>
        <x:v>1</x:v>
      </x:c>
      <x:c r="F18" s="54" t="b">
        <x:f>A18=B18</x:f>
        <x:v>0</x:v>
      </x:c>
      <x:c r="G18" s="54" t="str">
        <x:f>IF(AND(D18,E18,NOT(F18),C18&gt;0),"OK","CHECK")</x:f>
        <x:v>OK</x:v>
      </x:c>
    </x:row>
    <x:row r="19">
      <x:c r="A19" s="54" t="str">
        <x:v>QAR-0002</x:v>
      </x:c>
      <x:c r="B19" s="54" t="str">
        <x:v>QAR-0017</x:v>
      </x:c>
      <x:c r="C19" s="63" t="n">
        <x:v>1</x:v>
      </x:c>
      <x:c r="D19" s="54" t="b">
        <x:f>COUNTIF('Inventory'!$A$4:$A$431,A19)=1</x:f>
        <x:v>1</x:v>
      </x:c>
      <x:c r="E19" s="54" t="b">
        <x:f>COUNTIF('Inventory'!$A$4:$A$431,B19)=1</x:f>
        <x:v>1</x:v>
      </x:c>
      <x:c r="F19" s="54" t="b">
        <x:f>A19=B19</x:f>
        <x:v>0</x:v>
      </x:c>
      <x:c r="G19" s="54" t="str">
        <x:f>IF(AND(D19,E19,NOT(F19),C19&gt;0),"OK","CHECK")</x:f>
        <x:v>OK</x:v>
      </x:c>
    </x:row>
    <x:row r="20">
      <x:c r="A20" s="54" t="str">
        <x:v>QAR-0002</x:v>
      </x:c>
      <x:c r="B20" s="54" t="str">
        <x:v>OFT-0001</x:v>
      </x:c>
      <x:c r="C20" s="63" t="n">
        <x:v>1</x:v>
      </x:c>
      <x:c r="D20" s="54" t="b">
        <x:f>COUNTIF('Inventory'!$A$4:$A$431,A20)=1</x:f>
        <x:v>1</x:v>
      </x:c>
      <x:c r="E20" s="54" t="b">
        <x:f>COUNTIF('Inventory'!$A$4:$A$431,B20)=1</x:f>
        <x:v>1</x:v>
      </x:c>
      <x:c r="F20" s="54" t="b">
        <x:f>A20=B20</x:f>
        <x:v>0</x:v>
      </x:c>
      <x:c r="G20" s="54" t="str">
        <x:f>IF(AND(D20,E20,NOT(F20),C20&gt;0),"OK","CHECK")</x:f>
        <x:v>OK</x:v>
      </x:c>
    </x:row>
    <x:row r="21">
      <x:c r="A21" s="54" t="str">
        <x:v>QAR-0002</x:v>
      </x:c>
      <x:c r="B21" s="54" t="str">
        <x:v>QAR-0018</x:v>
      </x:c>
      <x:c r="C21" s="63" t="n">
        <x:v>1</x:v>
      </x:c>
      <x:c r="D21" s="54" t="b">
        <x:f>COUNTIF('Inventory'!$A$4:$A$431,A21)=1</x:f>
        <x:v>1</x:v>
      </x:c>
      <x:c r="E21" s="54" t="b">
        <x:f>COUNTIF('Inventory'!$A$4:$A$431,B21)=1</x:f>
        <x:v>1</x:v>
      </x:c>
      <x:c r="F21" s="54" t="b">
        <x:f>A21=B21</x:f>
        <x:v>0</x:v>
      </x:c>
      <x:c r="G21" s="54" t="str">
        <x:f>IF(AND(D21,E21,NOT(F21),C21&gt;0),"OK","CHECK")</x:f>
        <x:v>OK</x:v>
      </x:c>
    </x:row>
    <x:row r="22">
      <x:c r="A22" s="54" t="str">
        <x:v>QAR-0002</x:v>
      </x:c>
      <x:c r="B22" s="54" t="str">
        <x:v>OFT-0002</x:v>
      </x:c>
      <x:c r="C22" s="63" t="n">
        <x:v>1</x:v>
      </x:c>
      <x:c r="D22" s="54" t="b">
        <x:f>COUNTIF('Inventory'!$A$4:$A$431,A22)=1</x:f>
        <x:v>1</x:v>
      </x:c>
      <x:c r="E22" s="54" t="b">
        <x:f>COUNTIF('Inventory'!$A$4:$A$431,B22)=1</x:f>
        <x:v>1</x:v>
      </x:c>
      <x:c r="F22" s="54" t="b">
        <x:f>A22=B22</x:f>
        <x:v>0</x:v>
      </x:c>
      <x:c r="G22" s="54" t="str">
        <x:f>IF(AND(D22,E22,NOT(F22),C22&gt;0),"OK","CHECK")</x:f>
        <x:v>OK</x:v>
      </x:c>
    </x:row>
    <x:row r="23">
      <x:c r="A23" s="54" t="str">
        <x:v>QAR-0002</x:v>
      </x:c>
      <x:c r="B23" s="54" t="str">
        <x:v>OFT-0003</x:v>
      </x:c>
      <x:c r="C23" s="63" t="n">
        <x:v>1</x:v>
      </x:c>
      <x:c r="D23" s="54" t="b">
        <x:f>COUNTIF('Inventory'!$A$4:$A$431,A23)=1</x:f>
        <x:v>1</x:v>
      </x:c>
      <x:c r="E23" s="54" t="b">
        <x:f>COUNTIF('Inventory'!$A$4:$A$431,B23)=1</x:f>
        <x:v>1</x:v>
      </x:c>
      <x:c r="F23" s="54" t="b">
        <x:f>A23=B23</x:f>
        <x:v>0</x:v>
      </x:c>
      <x:c r="G23" s="54" t="str">
        <x:f>IF(AND(D23,E23,NOT(F23),C23&gt;0),"OK","CHECK")</x:f>
        <x:v>OK</x:v>
      </x:c>
    </x:row>
    <x:row r="24">
      <x:c r="A24" s="54" t="str">
        <x:v>QAR-0017</x:v>
      </x:c>
      <x:c r="B24" s="54" t="str">
        <x:v>QAR-0019</x:v>
      </x:c>
      <x:c r="C24" s="63" t="n">
        <x:v>1</x:v>
      </x:c>
      <x:c r="D24" s="54" t="b">
        <x:f>COUNTIF('Inventory'!$A$4:$A$431,A24)=1</x:f>
        <x:v>1</x:v>
      </x:c>
      <x:c r="E24" s="54" t="b">
        <x:f>COUNTIF('Inventory'!$A$4:$A$431,B24)=1</x:f>
        <x:v>1</x:v>
      </x:c>
      <x:c r="F24" s="54" t="b">
        <x:f>A24=B24</x:f>
        <x:v>0</x:v>
      </x:c>
      <x:c r="G24" s="54" t="str">
        <x:f>IF(AND(D24,E24,NOT(F24),C24&gt;0),"OK","CHECK")</x:f>
        <x:v>OK</x:v>
      </x:c>
    </x:row>
    <x:row r="25">
      <x:c r="A25" s="54" t="str">
        <x:v>QAR-0017</x:v>
      </x:c>
      <x:c r="B25" s="54" t="str">
        <x:v>QAR-0020</x:v>
      </x:c>
      <x:c r="C25" s="63" t="n">
        <x:v>1</x:v>
      </x:c>
      <x:c r="D25" s="54" t="b">
        <x:f>COUNTIF('Inventory'!$A$4:$A$431,A25)=1</x:f>
        <x:v>1</x:v>
      </x:c>
      <x:c r="E25" s="54" t="b">
        <x:f>COUNTIF('Inventory'!$A$4:$A$431,B25)=1</x:f>
        <x:v>1</x:v>
      </x:c>
      <x:c r="F25" s="54" t="b">
        <x:f>A25=B25</x:f>
        <x:v>0</x:v>
      </x:c>
      <x:c r="G25" s="54" t="str">
        <x:f>IF(AND(D25,E25,NOT(F25),C25&gt;0),"OK","CHECK")</x:f>
        <x:v>OK</x:v>
      </x:c>
    </x:row>
    <x:row r="26">
      <x:c r="A26" s="54" t="str">
        <x:v>QAR-0017</x:v>
      </x:c>
      <x:c r="B26" s="54" t="str">
        <x:v>QAR-0021</x:v>
      </x:c>
      <x:c r="C26" s="63" t="n">
        <x:v>1</x:v>
      </x:c>
      <x:c r="D26" s="54" t="b">
        <x:f>COUNTIF('Inventory'!$A$4:$A$431,A26)=1</x:f>
        <x:v>1</x:v>
      </x:c>
      <x:c r="E26" s="54" t="b">
        <x:f>COUNTIF('Inventory'!$A$4:$A$431,B26)=1</x:f>
        <x:v>1</x:v>
      </x:c>
      <x:c r="F26" s="54" t="b">
        <x:f>A26=B26</x:f>
        <x:v>0</x:v>
      </x:c>
      <x:c r="G26" s="54" t="str">
        <x:f>IF(AND(D26,E26,NOT(F26),C26&gt;0),"OK","CHECK")</x:f>
        <x:v>OK</x:v>
      </x:c>
    </x:row>
    <x:row r="27">
      <x:c r="A27" s="54" t="str">
        <x:v>QAR-0017</x:v>
      </x:c>
      <x:c r="B27" s="54" t="str">
        <x:v>QAR-0022</x:v>
      </x:c>
      <x:c r="C27" s="63" t="n">
        <x:v>1</x:v>
      </x:c>
      <x:c r="D27" s="54" t="b">
        <x:f>COUNTIF('Inventory'!$A$4:$A$431,A27)=1</x:f>
        <x:v>1</x:v>
      </x:c>
      <x:c r="E27" s="54" t="b">
        <x:f>COUNTIF('Inventory'!$A$4:$A$431,B27)=1</x:f>
        <x:v>1</x:v>
      </x:c>
      <x:c r="F27" s="54" t="b">
        <x:f>A27=B27</x:f>
        <x:v>0</x:v>
      </x:c>
      <x:c r="G27" s="54" t="str">
        <x:f>IF(AND(D27,E27,NOT(F27),C27&gt;0),"OK","CHECK")</x:f>
        <x:v>OK</x:v>
      </x:c>
    </x:row>
    <x:row r="28">
      <x:c r="A28" s="54" t="str">
        <x:v>QAR-0017</x:v>
      </x:c>
      <x:c r="B28" s="54" t="str">
        <x:v>KIT-0001</x:v>
      </x:c>
      <x:c r="C28" s="63" t="n">
        <x:v>1</x:v>
      </x:c>
      <x:c r="D28" s="54" t="b">
        <x:f>COUNTIF('Inventory'!$A$4:$A$431,A28)=1</x:f>
        <x:v>1</x:v>
      </x:c>
      <x:c r="E28" s="54" t="b">
        <x:f>COUNTIF('Inventory'!$A$4:$A$431,B28)=1</x:f>
        <x:v>1</x:v>
      </x:c>
      <x:c r="F28" s="54" t="b">
        <x:f>A28=B28</x:f>
        <x:v>0</x:v>
      </x:c>
      <x:c r="G28" s="54" t="str">
        <x:f>IF(AND(D28,E28,NOT(F28),C28&gt;0),"OK","CHECK")</x:f>
        <x:v>OK</x:v>
      </x:c>
    </x:row>
    <x:row r="29">
      <x:c r="A29" s="54" t="str">
        <x:v>KIT-0001</x:v>
      </x:c>
      <x:c r="B29" s="54" t="str">
        <x:v>PRT-0001</x:v>
      </x:c>
      <x:c r="C29" s="63" t="n">
        <x:v>1800</x:v>
      </x:c>
      <x:c r="D29" s="54" t="b">
        <x:f>COUNTIF('Inventory'!$A$4:$A$431,A29)=1</x:f>
        <x:v>1</x:v>
      </x:c>
      <x:c r="E29" s="54" t="b">
        <x:f>COUNTIF('Inventory'!$A$4:$A$431,B29)=1</x:f>
        <x:v>1</x:v>
      </x:c>
      <x:c r="F29" s="54" t="b">
        <x:f>A29=B29</x:f>
        <x:v>0</x:v>
      </x:c>
      <x:c r="G29" s="54" t="str">
        <x:f>IF(AND(D29,E29,NOT(F29),C29&gt;0),"OK","CHECK")</x:f>
        <x:v>OK</x:v>
      </x:c>
    </x:row>
    <x:row r="30">
      <x:c r="A30" s="54" t="str">
        <x:v>KIT-0001</x:v>
      </x:c>
      <x:c r="B30" s="54" t="str">
        <x:v>PRT-0002</x:v>
      </x:c>
      <x:c r="C30" s="63" t="n">
        <x:v>700</x:v>
      </x:c>
      <x:c r="D30" s="54" t="b">
        <x:f>COUNTIF('Inventory'!$A$4:$A$431,A30)=1</x:f>
        <x:v>1</x:v>
      </x:c>
      <x:c r="E30" s="54" t="b">
        <x:f>COUNTIF('Inventory'!$A$4:$A$431,B30)=1</x:f>
        <x:v>1</x:v>
      </x:c>
      <x:c r="F30" s="54" t="b">
        <x:f>A30=B30</x:f>
        <x:v>0</x:v>
      </x:c>
      <x:c r="G30" s="54" t="str">
        <x:f>IF(AND(D30,E30,NOT(F30),C30&gt;0),"OK","CHECK")</x:f>
        <x:v>OK</x:v>
      </x:c>
    </x:row>
    <x:row r="31">
      <x:c r="A31" s="54" t="str">
        <x:v>KIT-0001</x:v>
      </x:c>
      <x:c r="B31" s="54" t="str">
        <x:v>PRT-0003</x:v>
      </x:c>
      <x:c r="C31" s="63" t="n">
        <x:v>240</x:v>
      </x:c>
      <x:c r="D31" s="54" t="b">
        <x:f>COUNTIF('Inventory'!$A$4:$A$431,A31)=1</x:f>
        <x:v>1</x:v>
      </x:c>
      <x:c r="E31" s="54" t="b">
        <x:f>COUNTIF('Inventory'!$A$4:$A$431,B31)=1</x:f>
        <x:v>1</x:v>
      </x:c>
      <x:c r="F31" s="54" t="b">
        <x:f>A31=B31</x:f>
        <x:v>0</x:v>
      </x:c>
      <x:c r="G31" s="54" t="str">
        <x:f>IF(AND(D31,E31,NOT(F31),C31&gt;0),"OK","CHECK")</x:f>
        <x:v>OK</x:v>
      </x:c>
    </x:row>
    <x:row r="32">
      <x:c r="A32" s="54" t="str">
        <x:v>KIT-0001</x:v>
      </x:c>
      <x:c r="B32" s="54" t="str">
        <x:v>PRT-0004</x:v>
      </x:c>
      <x:c r="C32" s="63" t="n">
        <x:v>80</x:v>
      </x:c>
      <x:c r="D32" s="54" t="b">
        <x:f>COUNTIF('Inventory'!$A$4:$A$431,A32)=1</x:f>
        <x:v>1</x:v>
      </x:c>
      <x:c r="E32" s="54" t="b">
        <x:f>COUNTIF('Inventory'!$A$4:$A$431,B32)=1</x:f>
        <x:v>1</x:v>
      </x:c>
      <x:c r="F32" s="54" t="b">
        <x:f>A32=B32</x:f>
        <x:v>0</x:v>
      </x:c>
      <x:c r="G32" s="54" t="str">
        <x:f>IF(AND(D32,E32,NOT(F32),C32&gt;0),"OK","CHECK")</x:f>
        <x:v>OK</x:v>
      </x:c>
    </x:row>
    <x:row r="33">
      <x:c r="A33" s="54" t="str">
        <x:v>OFT-0001</x:v>
      </x:c>
      <x:c r="B33" s="54" t="str">
        <x:v>ASM-0001</x:v>
      </x:c>
      <x:c r="C33" s="63" t="n">
        <x:v>1</x:v>
      </x:c>
      <x:c r="D33" s="54" t="b">
        <x:f>COUNTIF('Inventory'!$A$4:$A$431,A33)=1</x:f>
        <x:v>1</x:v>
      </x:c>
      <x:c r="E33" s="54" t="b">
        <x:f>COUNTIF('Inventory'!$A$4:$A$431,B33)=1</x:f>
        <x:v>1</x:v>
      </x:c>
      <x:c r="F33" s="54" t="b">
        <x:f>A33=B33</x:f>
        <x:v>0</x:v>
      </x:c>
      <x:c r="G33" s="54" t="str">
        <x:f>IF(AND(D33,E33,NOT(F33),C33&gt;0),"OK","CHECK")</x:f>
        <x:v>OK</x:v>
      </x:c>
    </x:row>
    <x:row r="34">
      <x:c r="A34" s="54" t="str">
        <x:v>OFT-0001</x:v>
      </x:c>
      <x:c r="B34" s="54" t="str">
        <x:v>ASM-0002</x:v>
      </x:c>
      <x:c r="C34" s="63" t="n">
        <x:v>1</x:v>
      </x:c>
      <x:c r="D34" s="54" t="b">
        <x:f>COUNTIF('Inventory'!$A$4:$A$431,A34)=1</x:f>
        <x:v>1</x:v>
      </x:c>
      <x:c r="E34" s="54" t="b">
        <x:f>COUNTIF('Inventory'!$A$4:$A$431,B34)=1</x:f>
        <x:v>1</x:v>
      </x:c>
      <x:c r="F34" s="54" t="b">
        <x:f>A34=B34</x:f>
        <x:v>0</x:v>
      </x:c>
      <x:c r="G34" s="54" t="str">
        <x:f>IF(AND(D34,E34,NOT(F34),C34&gt;0),"OK","CHECK")</x:f>
        <x:v>OK</x:v>
      </x:c>
    </x:row>
    <x:row r="35">
      <x:c r="A35" s="54" t="str">
        <x:v>OFT-0001</x:v>
      </x:c>
      <x:c r="B35" s="54" t="str">
        <x:v>ASM-0003</x:v>
      </x:c>
      <x:c r="C35" s="63" t="n">
        <x:v>5</x:v>
      </x:c>
      <x:c r="D35" s="54" t="b">
        <x:f>COUNTIF('Inventory'!$A$4:$A$431,A35)=1</x:f>
        <x:v>1</x:v>
      </x:c>
      <x:c r="E35" s="54" t="b">
        <x:f>COUNTIF('Inventory'!$A$4:$A$431,B35)=1</x:f>
        <x:v>1</x:v>
      </x:c>
      <x:c r="F35" s="54" t="b">
        <x:f>A35=B35</x:f>
        <x:v>0</x:v>
      </x:c>
      <x:c r="G35" s="54" t="str">
        <x:f>IF(AND(D35,E35,NOT(F35),C35&gt;0),"OK","CHECK")</x:f>
        <x:v>OK</x:v>
      </x:c>
    </x:row>
    <x:row r="36">
      <x:c r="A36" s="54" t="str">
        <x:v>OFT-0001</x:v>
      </x:c>
      <x:c r="B36" s="54" t="str">
        <x:v>ASM-0004</x:v>
      </x:c>
      <x:c r="C36" s="63" t="n">
        <x:v>6</x:v>
      </x:c>
      <x:c r="D36" s="54" t="b">
        <x:f>COUNTIF('Inventory'!$A$4:$A$431,A36)=1</x:f>
        <x:v>1</x:v>
      </x:c>
      <x:c r="E36" s="54" t="b">
        <x:f>COUNTIF('Inventory'!$A$4:$A$431,B36)=1</x:f>
        <x:v>1</x:v>
      </x:c>
      <x:c r="F36" s="54" t="b">
        <x:f>A36=B36</x:f>
        <x:v>0</x:v>
      </x:c>
      <x:c r="G36" s="54" t="str">
        <x:f>IF(AND(D36,E36,NOT(F36),C36&gt;0),"OK","CHECK")</x:f>
        <x:v>OK</x:v>
      </x:c>
    </x:row>
    <x:row r="37">
      <x:c r="A37" s="54" t="str">
        <x:v>OFT-0001</x:v>
      </x:c>
      <x:c r="B37" s="54" t="str">
        <x:v>KIT-0002</x:v>
      </x:c>
      <x:c r="C37" s="63" t="n">
        <x:v>1</x:v>
      </x:c>
      <x:c r="D37" s="54" t="b">
        <x:f>COUNTIF('Inventory'!$A$4:$A$431,A37)=1</x:f>
        <x:v>1</x:v>
      </x:c>
      <x:c r="E37" s="54" t="b">
        <x:f>COUNTIF('Inventory'!$A$4:$A$431,B37)=1</x:f>
        <x:v>1</x:v>
      </x:c>
      <x:c r="F37" s="54" t="b">
        <x:f>A37=B37</x:f>
        <x:v>0</x:v>
      </x:c>
      <x:c r="G37" s="54" t="str">
        <x:f>IF(AND(D37,E37,NOT(F37),C37&gt;0),"OK","CHECK")</x:f>
        <x:v>OK</x:v>
      </x:c>
    </x:row>
    <x:row r="38">
      <x:c r="A38" s="54" t="str">
        <x:v>OFT-0001</x:v>
      </x:c>
      <x:c r="B38" s="54" t="str">
        <x:v>PRT-0005</x:v>
      </x:c>
      <x:c r="C38" s="63" t="n">
        <x:v>1</x:v>
      </x:c>
      <x:c r="D38" s="54" t="b">
        <x:f>COUNTIF('Inventory'!$A$4:$A$431,A38)=1</x:f>
        <x:v>1</x:v>
      </x:c>
      <x:c r="E38" s="54" t="b">
        <x:f>COUNTIF('Inventory'!$A$4:$A$431,B38)=1</x:f>
        <x:v>1</x:v>
      </x:c>
      <x:c r="F38" s="54" t="b">
        <x:f>A38=B38</x:f>
        <x:v>0</x:v>
      </x:c>
      <x:c r="G38" s="54" t="str">
        <x:f>IF(AND(D38,E38,NOT(F38),C38&gt;0),"OK","CHECK")</x:f>
        <x:v>OK</x:v>
      </x:c>
    </x:row>
    <x:row r="39">
      <x:c r="A39" s="54" t="str">
        <x:v>OFT-0001</x:v>
      </x:c>
      <x:c r="B39" s="54" t="str">
        <x:v>ASM-0005</x:v>
      </x:c>
      <x:c r="C39" s="63" t="n">
        <x:v>2</x:v>
      </x:c>
      <x:c r="D39" s="54" t="b">
        <x:f>COUNTIF('Inventory'!$A$4:$A$431,A39)=1</x:f>
        <x:v>1</x:v>
      </x:c>
      <x:c r="E39" s="54" t="b">
        <x:f>COUNTIF('Inventory'!$A$4:$A$431,B39)=1</x:f>
        <x:v>1</x:v>
      </x:c>
      <x:c r="F39" s="54" t="b">
        <x:f>A39=B39</x:f>
        <x:v>0</x:v>
      </x:c>
      <x:c r="G39" s="54" t="str">
        <x:f>IF(AND(D39,E39,NOT(F39),C39&gt;0),"OK","CHECK")</x:f>
        <x:v>OK</x:v>
      </x:c>
    </x:row>
    <x:row r="40">
      <x:c r="A40" s="54" t="str">
        <x:v>ASM-0001</x:v>
      </x:c>
      <x:c r="B40" s="54" t="str">
        <x:v>PRT-0008</x:v>
      </x:c>
      <x:c r="C40" s="63" t="n">
        <x:v>8</x:v>
      </x:c>
      <x:c r="D40" s="54" t="b">
        <x:f>COUNTIF('Inventory'!$A$4:$A$431,A40)=1</x:f>
        <x:v>1</x:v>
      </x:c>
      <x:c r="E40" s="54" t="b">
        <x:f>COUNTIF('Inventory'!$A$4:$A$431,B40)=1</x:f>
        <x:v>1</x:v>
      </x:c>
      <x:c r="F40" s="54" t="b">
        <x:f>A40=B40</x:f>
        <x:v>0</x:v>
      </x:c>
      <x:c r="G40" s="54" t="str">
        <x:f>IF(AND(D40,E40,NOT(F40),C40&gt;0),"OK","CHECK")</x:f>
        <x:v>OK</x:v>
      </x:c>
    </x:row>
    <x:row r="41">
      <x:c r="A41" s="54" t="str">
        <x:v>ASM-0001</x:v>
      </x:c>
      <x:c r="B41" s="54" t="str">
        <x:v>PRT-0007</x:v>
      </x:c>
      <x:c r="C41" s="63" t="n">
        <x:v>8</x:v>
      </x:c>
      <x:c r="D41" s="54" t="b">
        <x:f>COUNTIF('Inventory'!$A$4:$A$431,A41)=1</x:f>
        <x:v>1</x:v>
      </x:c>
      <x:c r="E41" s="54" t="b">
        <x:f>COUNTIF('Inventory'!$A$4:$A$431,B41)=1</x:f>
        <x:v>1</x:v>
      </x:c>
      <x:c r="F41" s="54" t="b">
        <x:f>A41=B41</x:f>
        <x:v>0</x:v>
      </x:c>
      <x:c r="G41" s="54" t="str">
        <x:f>IF(AND(D41,E41,NOT(F41),C41&gt;0),"OK","CHECK")</x:f>
        <x:v>OK</x:v>
      </x:c>
    </x:row>
    <x:row r="42">
      <x:c r="A42" s="54" t="str">
        <x:v>ASM-0002</x:v>
      </x:c>
      <x:c r="B42" s="54" t="str">
        <x:v>PRT-0009</x:v>
      </x:c>
      <x:c r="C42" s="63" t="n">
        <x:v>6</x:v>
      </x:c>
      <x:c r="D42" s="54" t="b">
        <x:f>COUNTIF('Inventory'!$A$4:$A$431,A42)=1</x:f>
        <x:v>1</x:v>
      </x:c>
      <x:c r="E42" s="54" t="b">
        <x:f>COUNTIF('Inventory'!$A$4:$A$431,B42)=1</x:f>
        <x:v>1</x:v>
      </x:c>
      <x:c r="F42" s="54" t="b">
        <x:f>A42=B42</x:f>
        <x:v>0</x:v>
      </x:c>
      <x:c r="G42" s="54" t="str">
        <x:f>IF(AND(D42,E42,NOT(F42),C42&gt;0),"OK","CHECK")</x:f>
        <x:v>OK</x:v>
      </x:c>
    </x:row>
    <x:row r="43">
      <x:c r="A43" s="54" t="str">
        <x:v>ASM-0002</x:v>
      </x:c>
      <x:c r="B43" s="54" t="str">
        <x:v>PRT-0007</x:v>
      </x:c>
      <x:c r="C43" s="63" t="n">
        <x:v>6</x:v>
      </x:c>
      <x:c r="D43" s="54" t="b">
        <x:f>COUNTIF('Inventory'!$A$4:$A$431,A43)=1</x:f>
        <x:v>1</x:v>
      </x:c>
      <x:c r="E43" s="54" t="b">
        <x:f>COUNTIF('Inventory'!$A$4:$A$431,B43)=1</x:f>
        <x:v>1</x:v>
      </x:c>
      <x:c r="F43" s="54" t="b">
        <x:f>A43=B43</x:f>
        <x:v>0</x:v>
      </x:c>
      <x:c r="G43" s="54" t="str">
        <x:f>IF(AND(D43,E43,NOT(F43),C43&gt;0),"OK","CHECK")</x:f>
        <x:v>OK</x:v>
      </x:c>
    </x:row>
    <x:row r="44">
      <x:c r="A44" s="54" t="str">
        <x:v>KIT-0002</x:v>
      </x:c>
      <x:c r="B44" s="54" t="str">
        <x:v>PRT-0006</x:v>
      </x:c>
      <x:c r="C44" s="63" t="n">
        <x:v>40</x:v>
      </x:c>
      <x:c r="D44" s="54" t="b">
        <x:f>COUNTIF('Inventory'!$A$4:$A$431,A44)=1</x:f>
        <x:v>1</x:v>
      </x:c>
      <x:c r="E44" s="54" t="b">
        <x:f>COUNTIF('Inventory'!$A$4:$A$431,B44)=1</x:f>
        <x:v>1</x:v>
      </x:c>
      <x:c r="F44" s="54" t="b">
        <x:f>A44=B44</x:f>
        <x:v>0</x:v>
      </x:c>
      <x:c r="G44" s="54" t="str">
        <x:f>IF(AND(D44,E44,NOT(F44),C44&gt;0),"OK","CHECK")</x:f>
        <x:v>OK</x:v>
      </x:c>
    </x:row>
    <x:row r="45">
      <x:c r="A45" s="54" t="str">
        <x:v>KIT-0002</x:v>
      </x:c>
      <x:c r="B45" s="54" t="str">
        <x:v>PRT-0007</x:v>
      </x:c>
      <x:c r="C45" s="63" t="n">
        <x:v>48</x:v>
      </x:c>
      <x:c r="D45" s="54" t="b">
        <x:f>COUNTIF('Inventory'!$A$4:$A$431,A45)=1</x:f>
        <x:v>1</x:v>
      </x:c>
      <x:c r="E45" s="54" t="b">
        <x:f>COUNTIF('Inventory'!$A$4:$A$431,B45)=1</x:f>
        <x:v>1</x:v>
      </x:c>
      <x:c r="F45" s="54" t="b">
        <x:f>A45=B45</x:f>
        <x:v>0</x:v>
      </x:c>
      <x:c r="G45" s="54" t="str">
        <x:f>IF(AND(D45,E45,NOT(F45),C45&gt;0),"OK","CHECK")</x:f>
        <x:v>OK</x:v>
      </x:c>
    </x:row>
    <x:row r="46">
      <x:c r="A46" s="54" t="str">
        <x:v>QAR-0018</x:v>
      </x:c>
      <x:c r="B46" s="54" t="str">
        <x:v>QAR-0023</x:v>
      </x:c>
      <x:c r="C46" s="63" t="n">
        <x:v>1</x:v>
      </x:c>
      <x:c r="D46" s="54" t="b">
        <x:f>COUNTIF('Inventory'!$A$4:$A$431,A46)=1</x:f>
        <x:v>1</x:v>
      </x:c>
      <x:c r="E46" s="54" t="b">
        <x:f>COUNTIF('Inventory'!$A$4:$A$431,B46)=1</x:f>
        <x:v>1</x:v>
      </x:c>
      <x:c r="F46" s="54" t="b">
        <x:f>A46=B46</x:f>
        <x:v>0</x:v>
      </x:c>
      <x:c r="G46" s="54" t="str">
        <x:f>IF(AND(D46,E46,NOT(F46),C46&gt;0),"OK","CHECK")</x:f>
        <x:v>OK</x:v>
      </x:c>
    </x:row>
    <x:row r="47">
      <x:c r="A47" s="54" t="str">
        <x:v>QAR-0018</x:v>
      </x:c>
      <x:c r="B47" s="54" t="str">
        <x:v>QAR-0024</x:v>
      </x:c>
      <x:c r="C47" s="63" t="n">
        <x:v>1</x:v>
      </x:c>
      <x:c r="D47" s="54" t="b">
        <x:f>COUNTIF('Inventory'!$A$4:$A$431,A47)=1</x:f>
        <x:v>1</x:v>
      </x:c>
      <x:c r="E47" s="54" t="b">
        <x:f>COUNTIF('Inventory'!$A$4:$A$431,B47)=1</x:f>
        <x:v>1</x:v>
      </x:c>
      <x:c r="F47" s="54" t="b">
        <x:f>A47=B47</x:f>
        <x:v>0</x:v>
      </x:c>
      <x:c r="G47" s="54" t="str">
        <x:f>IF(AND(D47,E47,NOT(F47),C47&gt;0),"OK","CHECK")</x:f>
        <x:v>OK</x:v>
      </x:c>
    </x:row>
    <x:row r="48">
      <x:c r="A48" s="54" t="str">
        <x:v>QAR-0018</x:v>
      </x:c>
      <x:c r="B48" s="54" t="str">
        <x:v>PRT-0010</x:v>
      </x:c>
      <x:c r="C48" s="63" t="n">
        <x:v>4</x:v>
      </x:c>
      <x:c r="D48" s="54" t="b">
        <x:f>COUNTIF('Inventory'!$A$4:$A$431,A48)=1</x:f>
        <x:v>1</x:v>
      </x:c>
      <x:c r="E48" s="54" t="b">
        <x:f>COUNTIF('Inventory'!$A$4:$A$431,B48)=1</x:f>
        <x:v>1</x:v>
      </x:c>
      <x:c r="F48" s="54" t="b">
        <x:f>A48=B48</x:f>
        <x:v>0</x:v>
      </x:c>
      <x:c r="G48" s="54" t="str">
        <x:f>IF(AND(D48,E48,NOT(F48),C48&gt;0),"OK","CHECK")</x:f>
        <x:v>OK</x:v>
      </x:c>
    </x:row>
    <x:row r="49">
      <x:c r="A49" s="54" t="str">
        <x:v>QAR-0018</x:v>
      </x:c>
      <x:c r="B49" s="54" t="str">
        <x:v>PRT-0011</x:v>
      </x:c>
      <x:c r="C49" s="63" t="n">
        <x:v>4</x:v>
      </x:c>
      <x:c r="D49" s="54" t="b">
        <x:f>COUNTIF('Inventory'!$A$4:$A$431,A49)=1</x:f>
        <x:v>1</x:v>
      </x:c>
      <x:c r="E49" s="54" t="b">
        <x:f>COUNTIF('Inventory'!$A$4:$A$431,B49)=1</x:f>
        <x:v>1</x:v>
      </x:c>
      <x:c r="F49" s="54" t="b">
        <x:f>A49=B49</x:f>
        <x:v>0</x:v>
      </x:c>
      <x:c r="G49" s="54" t="str">
        <x:f>IF(AND(D49,E49,NOT(F49),C49&gt;0),"OK","CHECK")</x:f>
        <x:v>OK</x:v>
      </x:c>
    </x:row>
    <x:row r="50">
      <x:c r="A50" s="54" t="str">
        <x:v>QAR-0018</x:v>
      </x:c>
      <x:c r="B50" s="54" t="str">
        <x:v>PRT-0012</x:v>
      </x:c>
      <x:c r="C50" s="63" t="n">
        <x:v>2</x:v>
      </x:c>
      <x:c r="D50" s="54" t="b">
        <x:f>COUNTIF('Inventory'!$A$4:$A$431,A50)=1</x:f>
        <x:v>1</x:v>
      </x:c>
      <x:c r="E50" s="54" t="b">
        <x:f>COUNTIF('Inventory'!$A$4:$A$431,B50)=1</x:f>
        <x:v>1</x:v>
      </x:c>
      <x:c r="F50" s="54" t="b">
        <x:f>A50=B50</x:f>
        <x:v>0</x:v>
      </x:c>
      <x:c r="G50" s="54" t="str">
        <x:f>IF(AND(D50,E50,NOT(F50),C50&gt;0),"OK","CHECK")</x:f>
        <x:v>OK</x:v>
      </x:c>
    </x:row>
    <x:row r="51">
      <x:c r="A51" s="54" t="str">
        <x:v>OFT-0002</x:v>
      </x:c>
      <x:c r="B51" s="54" t="str">
        <x:v>ASM-0006</x:v>
      </x:c>
      <x:c r="C51" s="63" t="n">
        <x:v>2</x:v>
      </x:c>
      <x:c r="D51" s="54" t="b">
        <x:f>COUNTIF('Inventory'!$A$4:$A$431,A51)=1</x:f>
        <x:v>1</x:v>
      </x:c>
      <x:c r="E51" s="54" t="b">
        <x:f>COUNTIF('Inventory'!$A$4:$A$431,B51)=1</x:f>
        <x:v>1</x:v>
      </x:c>
      <x:c r="F51" s="54" t="b">
        <x:f>A51=B51</x:f>
        <x:v>0</x:v>
      </x:c>
      <x:c r="G51" s="54" t="str">
        <x:f>IF(AND(D51,E51,NOT(F51),C51&gt;0),"OK","CHECK")</x:f>
        <x:v>OK</x:v>
      </x:c>
    </x:row>
    <x:row r="52">
      <x:c r="A52" s="54" t="str">
        <x:v>OFT-0002</x:v>
      </x:c>
      <x:c r="B52" s="54" t="str">
        <x:v>PRT-0013</x:v>
      </x:c>
      <x:c r="C52" s="63" t="n">
        <x:v>2</x:v>
      </x:c>
      <x:c r="D52" s="54" t="b">
        <x:f>COUNTIF('Inventory'!$A$4:$A$431,A52)=1</x:f>
        <x:v>1</x:v>
      </x:c>
      <x:c r="E52" s="54" t="b">
        <x:f>COUNTIF('Inventory'!$A$4:$A$431,B52)=1</x:f>
        <x:v>1</x:v>
      </x:c>
      <x:c r="F52" s="54" t="b">
        <x:f>A52=B52</x:f>
        <x:v>0</x:v>
      </x:c>
      <x:c r="G52" s="54" t="str">
        <x:f>IF(AND(D52,E52,NOT(F52),C52&gt;0),"OK","CHECK")</x:f>
        <x:v>OK</x:v>
      </x:c>
    </x:row>
    <x:row r="53">
      <x:c r="A53" s="54" t="str">
        <x:v>OFT-0002</x:v>
      </x:c>
      <x:c r="B53" s="54" t="str">
        <x:v>ASM-0007</x:v>
      </x:c>
      <x:c r="C53" s="63" t="n">
        <x:v>12</x:v>
      </x:c>
      <x:c r="D53" s="54" t="b">
        <x:f>COUNTIF('Inventory'!$A$4:$A$431,A53)=1</x:f>
        <x:v>1</x:v>
      </x:c>
      <x:c r="E53" s="54" t="b">
        <x:f>COUNTIF('Inventory'!$A$4:$A$431,B53)=1</x:f>
        <x:v>1</x:v>
      </x:c>
      <x:c r="F53" s="54" t="b">
        <x:f>A53=B53</x:f>
        <x:v>0</x:v>
      </x:c>
      <x:c r="G53" s="54" t="str">
        <x:f>IF(AND(D53,E53,NOT(F53),C53&gt;0),"OK","CHECK")</x:f>
        <x:v>OK</x:v>
      </x:c>
    </x:row>
    <x:row r="54">
      <x:c r="A54" s="54" t="str">
        <x:v>ASM-0006</x:v>
      </x:c>
      <x:c r="B54" s="54" t="str">
        <x:v>PRT-0014</x:v>
      </x:c>
      <x:c r="C54" s="63" t="n">
        <x:v>1</x:v>
      </x:c>
      <x:c r="D54" s="54" t="b">
        <x:f>COUNTIF('Inventory'!$A$4:$A$431,A54)=1</x:f>
        <x:v>1</x:v>
      </x:c>
      <x:c r="E54" s="54" t="b">
        <x:f>COUNTIF('Inventory'!$A$4:$A$431,B54)=1</x:f>
        <x:v>1</x:v>
      </x:c>
      <x:c r="F54" s="54" t="b">
        <x:f>A54=B54</x:f>
        <x:v>0</x:v>
      </x:c>
      <x:c r="G54" s="54" t="str">
        <x:f>IF(AND(D54,E54,NOT(F54),C54&gt;0),"OK","CHECK")</x:f>
        <x:v>OK</x:v>
      </x:c>
    </x:row>
    <x:row r="55">
      <x:c r="A55" s="54" t="str">
        <x:v>ASM-0006</x:v>
      </x:c>
      <x:c r="B55" s="54" t="str">
        <x:v>KIT-0003</x:v>
      </x:c>
      <x:c r="C55" s="63" t="n">
        <x:v>1</x:v>
      </x:c>
      <x:c r="D55" s="54" t="b">
        <x:f>COUNTIF('Inventory'!$A$4:$A$431,A55)=1</x:f>
        <x:v>1</x:v>
      </x:c>
      <x:c r="E55" s="54" t="b">
        <x:f>COUNTIF('Inventory'!$A$4:$A$431,B55)=1</x:f>
        <x:v>1</x:v>
      </x:c>
      <x:c r="F55" s="54" t="b">
        <x:f>A55=B55</x:f>
        <x:v>0</x:v>
      </x:c>
      <x:c r="G55" s="54" t="str">
        <x:f>IF(AND(D55,E55,NOT(F55),C55&gt;0),"OK","CHECK")</x:f>
        <x:v>OK</x:v>
      </x:c>
    </x:row>
    <x:row r="56">
      <x:c r="A56" s="54" t="str">
        <x:v>OFT-0003</x:v>
      </x:c>
      <x:c r="B56" s="54" t="str">
        <x:v>MAT-0001</x:v>
      </x:c>
      <x:c r="C56" s="63" t="n">
        <x:v>500</x:v>
      </x:c>
      <x:c r="D56" s="54" t="b">
        <x:f>COUNTIF('Inventory'!$A$4:$A$431,A56)=1</x:f>
        <x:v>1</x:v>
      </x:c>
      <x:c r="E56" s="54" t="b">
        <x:f>COUNTIF('Inventory'!$A$4:$A$431,B56)=1</x:f>
        <x:v>1</x:v>
      </x:c>
      <x:c r="F56" s="54" t="b">
        <x:f>A56=B56</x:f>
        <x:v>0</x:v>
      </x:c>
      <x:c r="G56" s="54" t="str">
        <x:f>IF(AND(D56,E56,NOT(F56),C56&gt;0),"OK","CHECK")</x:f>
        <x:v>OK</x:v>
      </x:c>
    </x:row>
    <x:row r="57">
      <x:c r="A57" s="54" t="str">
        <x:v>OFT-0003</x:v>
      </x:c>
      <x:c r="B57" s="54" t="str">
        <x:v>PRT-0015</x:v>
      </x:c>
      <x:c r="C57" s="63" t="n">
        <x:v>80</x:v>
      </x:c>
      <x:c r="D57" s="54" t="b">
        <x:f>COUNTIF('Inventory'!$A$4:$A$431,A57)=1</x:f>
        <x:v>1</x:v>
      </x:c>
      <x:c r="E57" s="54" t="b">
        <x:f>COUNTIF('Inventory'!$A$4:$A$431,B57)=1</x:f>
        <x:v>1</x:v>
      </x:c>
      <x:c r="F57" s="54" t="b">
        <x:f>A57=B57</x:f>
        <x:v>0</x:v>
      </x:c>
      <x:c r="G57" s="54" t="str">
        <x:f>IF(AND(D57,E57,NOT(F57),C57&gt;0),"OK","CHECK")</x:f>
        <x:v>OK</x:v>
      </x:c>
    </x:row>
    <x:row r="58">
      <x:c r="A58" s="54" t="str">
        <x:v>OFT-0003</x:v>
      </x:c>
      <x:c r="B58" s="54" t="str">
        <x:v>PRT-0016</x:v>
      </x:c>
      <x:c r="C58" s="63" t="n">
        <x:v>40</x:v>
      </x:c>
      <x:c r="D58" s="54" t="b">
        <x:f>COUNTIF('Inventory'!$A$4:$A$431,A58)=1</x:f>
        <x:v>1</x:v>
      </x:c>
      <x:c r="E58" s="54" t="b">
        <x:f>COUNTIF('Inventory'!$A$4:$A$431,B58)=1</x:f>
        <x:v>1</x:v>
      </x:c>
      <x:c r="F58" s="54" t="b">
        <x:f>A58=B58</x:f>
        <x:v>0</x:v>
      </x:c>
      <x:c r="G58" s="54" t="str">
        <x:f>IF(AND(D58,E58,NOT(F58),C58&gt;0),"OK","CHECK")</x:f>
        <x:v>OK</x:v>
      </x:c>
    </x:row>
    <x:row r="59">
      <x:c r="A59" s="54" t="str">
        <x:v>QAR-0003</x:v>
      </x:c>
      <x:c r="B59" s="54" t="str">
        <x:v>OFT-0004</x:v>
      </x:c>
      <x:c r="C59" s="63" t="n">
        <x:v>1</x:v>
      </x:c>
      <x:c r="D59" s="54" t="b">
        <x:f>COUNTIF('Inventory'!$A$4:$A$431,A59)=1</x:f>
        <x:v>1</x:v>
      </x:c>
      <x:c r="E59" s="54" t="b">
        <x:f>COUNTIF('Inventory'!$A$4:$A$431,B59)=1</x:f>
        <x:v>1</x:v>
      </x:c>
      <x:c r="F59" s="54" t="b">
        <x:f>A59=B59</x:f>
        <x:v>0</x:v>
      </x:c>
      <x:c r="G59" s="54" t="str">
        <x:f>IF(AND(D59,E59,NOT(F59),C59&gt;0),"OK","CHECK")</x:f>
        <x:v>OK</x:v>
      </x:c>
    </x:row>
    <x:row r="60">
      <x:c r="A60" s="54" t="str">
        <x:v>QAR-0003</x:v>
      </x:c>
      <x:c r="B60" s="54" t="str">
        <x:v>OFT-0005</x:v>
      </x:c>
      <x:c r="C60" s="63" t="n">
        <x:v>1</x:v>
      </x:c>
      <x:c r="D60" s="54" t="b">
        <x:f>COUNTIF('Inventory'!$A$4:$A$431,A60)=1</x:f>
        <x:v>1</x:v>
      </x:c>
      <x:c r="E60" s="54" t="b">
        <x:f>COUNTIF('Inventory'!$A$4:$A$431,B60)=1</x:f>
        <x:v>1</x:v>
      </x:c>
      <x:c r="F60" s="54" t="b">
        <x:f>A60=B60</x:f>
        <x:v>0</x:v>
      </x:c>
      <x:c r="G60" s="54" t="str">
        <x:f>IF(AND(D60,E60,NOT(F60),C60&gt;0),"OK","CHECK")</x:f>
        <x:v>OK</x:v>
      </x:c>
    </x:row>
    <x:row r="61">
      <x:c r="A61" s="54" t="str">
        <x:v>QAR-0003</x:v>
      </x:c>
      <x:c r="B61" s="54" t="str">
        <x:v>OFT-0006</x:v>
      </x:c>
      <x:c r="C61" s="63" t="n">
        <x:v>1</x:v>
      </x:c>
      <x:c r="D61" s="54" t="b">
        <x:f>COUNTIF('Inventory'!$A$4:$A$431,A61)=1</x:f>
        <x:v>1</x:v>
      </x:c>
      <x:c r="E61" s="54" t="b">
        <x:f>COUNTIF('Inventory'!$A$4:$A$431,B61)=1</x:f>
        <x:v>1</x:v>
      </x:c>
      <x:c r="F61" s="54" t="b">
        <x:f>A61=B61</x:f>
        <x:v>0</x:v>
      </x:c>
      <x:c r="G61" s="54" t="str">
        <x:f>IF(AND(D61,E61,NOT(F61),C61&gt;0),"OK","CHECK")</x:f>
        <x:v>OK</x:v>
      </x:c>
    </x:row>
    <x:row r="62">
      <x:c r="A62" s="54" t="str">
        <x:v>QAR-0003</x:v>
      </x:c>
      <x:c r="B62" s="54" t="str">
        <x:v>OFT-0007</x:v>
      </x:c>
      <x:c r="C62" s="63" t="n">
        <x:v>1</x:v>
      </x:c>
      <x:c r="D62" s="54" t="b">
        <x:f>COUNTIF('Inventory'!$A$4:$A$431,A62)=1</x:f>
        <x:v>1</x:v>
      </x:c>
      <x:c r="E62" s="54" t="b">
        <x:f>COUNTIF('Inventory'!$A$4:$A$431,B62)=1</x:f>
        <x:v>1</x:v>
      </x:c>
      <x:c r="F62" s="54" t="b">
        <x:f>A62=B62</x:f>
        <x:v>0</x:v>
      </x:c>
      <x:c r="G62" s="54" t="str">
        <x:f>IF(AND(D62,E62,NOT(F62),C62&gt;0),"OK","CHECK")</x:f>
        <x:v>OK</x:v>
      </x:c>
    </x:row>
    <x:row r="63">
      <x:c r="A63" s="54" t="str">
        <x:v>QAR-0003</x:v>
      </x:c>
      <x:c r="B63" s="54" t="str">
        <x:v>OFT-0008</x:v>
      </x:c>
      <x:c r="C63" s="63" t="n">
        <x:v>1</x:v>
      </x:c>
      <x:c r="D63" s="54" t="b">
        <x:f>COUNTIF('Inventory'!$A$4:$A$431,A63)=1</x:f>
        <x:v>1</x:v>
      </x:c>
      <x:c r="E63" s="54" t="b">
        <x:f>COUNTIF('Inventory'!$A$4:$A$431,B63)=1</x:f>
        <x:v>1</x:v>
      </x:c>
      <x:c r="F63" s="54" t="b">
        <x:f>A63=B63</x:f>
        <x:v>0</x:v>
      </x:c>
      <x:c r="G63" s="54" t="str">
        <x:f>IF(AND(D63,E63,NOT(F63),C63&gt;0),"OK","CHECK")</x:f>
        <x:v>OK</x:v>
      </x:c>
    </x:row>
    <x:row r="64">
      <x:c r="A64" s="54" t="str">
        <x:v>QAR-0003</x:v>
      </x:c>
      <x:c r="B64" s="54" t="str">
        <x:v>KIT-0004</x:v>
      </x:c>
      <x:c r="C64" s="63" t="n">
        <x:v>1</x:v>
      </x:c>
      <x:c r="D64" s="54" t="b">
        <x:f>COUNTIF('Inventory'!$A$4:$A$431,A64)=1</x:f>
        <x:v>1</x:v>
      </x:c>
      <x:c r="E64" s="54" t="b">
        <x:f>COUNTIF('Inventory'!$A$4:$A$431,B64)=1</x:f>
        <x:v>1</x:v>
      </x:c>
      <x:c r="F64" s="54" t="b">
        <x:f>A64=B64</x:f>
        <x:v>0</x:v>
      </x:c>
      <x:c r="G64" s="54" t="str">
        <x:f>IF(AND(D64,E64,NOT(F64),C64&gt;0),"OK","CHECK")</x:f>
        <x:v>OK</x:v>
      </x:c>
    </x:row>
    <x:row r="65">
      <x:c r="A65" s="54" t="str">
        <x:v>OFT-0004</x:v>
      </x:c>
      <x:c r="B65" s="54" t="str">
        <x:v>KIT-0005</x:v>
      </x:c>
      <x:c r="C65" s="63" t="n">
        <x:v>16</x:v>
      </x:c>
      <x:c r="D65" s="54" t="b">
        <x:f>COUNTIF('Inventory'!$A$4:$A$431,A65)=1</x:f>
        <x:v>1</x:v>
      </x:c>
      <x:c r="E65" s="54" t="b">
        <x:f>COUNTIF('Inventory'!$A$4:$A$431,B65)=1</x:f>
        <x:v>1</x:v>
      </x:c>
      <x:c r="F65" s="54" t="b">
        <x:f>A65=B65</x:f>
        <x:v>0</x:v>
      </x:c>
      <x:c r="G65" s="54" t="str">
        <x:f>IF(AND(D65,E65,NOT(F65),C65&gt;0),"OK","CHECK")</x:f>
        <x:v>OK</x:v>
      </x:c>
    </x:row>
    <x:row r="66">
      <x:c r="A66" s="54" t="str">
        <x:v>OFT-0005</x:v>
      </x:c>
      <x:c r="B66" s="54" t="str">
        <x:v>KIT-0006</x:v>
      </x:c>
      <x:c r="C66" s="63" t="n">
        <x:v>16</x:v>
      </x:c>
      <x:c r="D66" s="54" t="b">
        <x:f>COUNTIF('Inventory'!$A$4:$A$431,A66)=1</x:f>
        <x:v>1</x:v>
      </x:c>
      <x:c r="E66" s="54" t="b">
        <x:f>COUNTIF('Inventory'!$A$4:$A$431,B66)=1</x:f>
        <x:v>1</x:v>
      </x:c>
      <x:c r="F66" s="54" t="b">
        <x:f>A66=B66</x:f>
        <x:v>0</x:v>
      </x:c>
      <x:c r="G66" s="54" t="str">
        <x:f>IF(AND(D66,E66,NOT(F66),C66&gt;0),"OK","CHECK")</x:f>
        <x:v>OK</x:v>
      </x:c>
    </x:row>
    <x:row r="67">
      <x:c r="A67" s="54" t="str">
        <x:v>OFT-0006</x:v>
      </x:c>
      <x:c r="B67" s="54" t="str">
        <x:v>KIT-0007</x:v>
      </x:c>
      <x:c r="C67" s="63" t="n">
        <x:v>8</x:v>
      </x:c>
      <x:c r="D67" s="54" t="b">
        <x:f>COUNTIF('Inventory'!$A$4:$A$431,A67)=1</x:f>
        <x:v>1</x:v>
      </x:c>
      <x:c r="E67" s="54" t="b">
        <x:f>COUNTIF('Inventory'!$A$4:$A$431,B67)=1</x:f>
        <x:v>1</x:v>
      </x:c>
      <x:c r="F67" s="54" t="b">
        <x:f>A67=B67</x:f>
        <x:v>0</x:v>
      </x:c>
      <x:c r="G67" s="54" t="str">
        <x:f>IF(AND(D67,E67,NOT(F67),C67&gt;0),"OK","CHECK")</x:f>
        <x:v>OK</x:v>
      </x:c>
    </x:row>
    <x:row r="68">
      <x:c r="A68" s="54" t="str">
        <x:v>KIT-0005</x:v>
      </x:c>
      <x:c r="B68" s="54" t="str">
        <x:v>PRT-0017</x:v>
      </x:c>
      <x:c r="C68" s="63" t="n">
        <x:v>1</x:v>
      </x:c>
      <x:c r="D68" s="54" t="b">
        <x:f>COUNTIF('Inventory'!$A$4:$A$431,A68)=1</x:f>
        <x:v>1</x:v>
      </x:c>
      <x:c r="E68" s="54" t="b">
        <x:f>COUNTIF('Inventory'!$A$4:$A$431,B68)=1</x:f>
        <x:v>1</x:v>
      </x:c>
      <x:c r="F68" s="54" t="b">
        <x:f>A68=B68</x:f>
        <x:v>0</x:v>
      </x:c>
      <x:c r="G68" s="54" t="str">
        <x:f>IF(AND(D68,E68,NOT(F68),C68&gt;0),"OK","CHECK")</x:f>
        <x:v>OK</x:v>
      </x:c>
    </x:row>
    <x:row r="69">
      <x:c r="A69" s="54" t="str">
        <x:v>KIT-0005</x:v>
      </x:c>
      <x:c r="B69" s="54" t="str">
        <x:v>ASM-0008</x:v>
      </x:c>
      <x:c r="C69" s="63" t="n">
        <x:v>1</x:v>
      </x:c>
      <x:c r="D69" s="54" t="b">
        <x:f>COUNTIF('Inventory'!$A$4:$A$431,A69)=1</x:f>
        <x:v>1</x:v>
      </x:c>
      <x:c r="E69" s="54" t="b">
        <x:f>COUNTIF('Inventory'!$A$4:$A$431,B69)=1</x:f>
        <x:v>1</x:v>
      </x:c>
      <x:c r="F69" s="54" t="b">
        <x:f>A69=B69</x:f>
        <x:v>0</x:v>
      </x:c>
      <x:c r="G69" s="54" t="str">
        <x:f>IF(AND(D69,E69,NOT(F69),C69&gt;0),"OK","CHECK")</x:f>
        <x:v>OK</x:v>
      </x:c>
    </x:row>
    <x:row r="70">
      <x:c r="A70" s="54" t="str">
        <x:v>KIT-0005</x:v>
      </x:c>
      <x:c r="B70" s="54" t="str">
        <x:v>KIT-0008</x:v>
      </x:c>
      <x:c r="C70" s="63" t="n">
        <x:v>1</x:v>
      </x:c>
      <x:c r="D70" s="54" t="b">
        <x:f>COUNTIF('Inventory'!$A$4:$A$431,A70)=1</x:f>
        <x:v>1</x:v>
      </x:c>
      <x:c r="E70" s="54" t="b">
        <x:f>COUNTIF('Inventory'!$A$4:$A$431,B70)=1</x:f>
        <x:v>1</x:v>
      </x:c>
      <x:c r="F70" s="54" t="b">
        <x:f>A70=B70</x:f>
        <x:v>0</x:v>
      </x:c>
      <x:c r="G70" s="54" t="str">
        <x:f>IF(AND(D70,E70,NOT(F70),C70&gt;0),"OK","CHECK")</x:f>
        <x:v>OK</x:v>
      </x:c>
    </x:row>
    <x:row r="71">
      <x:c r="A71" s="54" t="str">
        <x:v>KIT-0005</x:v>
      </x:c>
      <x:c r="B71" s="54" t="str">
        <x:v>KIT-0010</x:v>
      </x:c>
      <x:c r="C71" s="63" t="n">
        <x:v>1</x:v>
      </x:c>
      <x:c r="D71" s="54" t="b">
        <x:f>COUNTIF('Inventory'!$A$4:$A$431,A71)=1</x:f>
        <x:v>1</x:v>
      </x:c>
      <x:c r="E71" s="54" t="b">
        <x:f>COUNTIF('Inventory'!$A$4:$A$431,B71)=1</x:f>
        <x:v>1</x:v>
      </x:c>
      <x:c r="F71" s="54" t="b">
        <x:f>A71=B71</x:f>
        <x:v>0</x:v>
      </x:c>
      <x:c r="G71" s="54" t="str">
        <x:f>IF(AND(D71,E71,NOT(F71),C71&gt;0),"OK","CHECK")</x:f>
        <x:v>OK</x:v>
      </x:c>
    </x:row>
    <x:row r="72">
      <x:c r="A72" s="54" t="str">
        <x:v>KIT-0005</x:v>
      </x:c>
      <x:c r="B72" s="54" t="str">
        <x:v>KIT-0012</x:v>
      </x:c>
      <x:c r="C72" s="63" t="n">
        <x:v>1</x:v>
      </x:c>
      <x:c r="D72" s="54" t="b">
        <x:f>COUNTIF('Inventory'!$A$4:$A$431,A72)=1</x:f>
        <x:v>1</x:v>
      </x:c>
      <x:c r="E72" s="54" t="b">
        <x:f>COUNTIF('Inventory'!$A$4:$A$431,B72)=1</x:f>
        <x:v>1</x:v>
      </x:c>
      <x:c r="F72" s="54" t="b">
        <x:f>A72=B72</x:f>
        <x:v>0</x:v>
      </x:c>
      <x:c r="G72" s="54" t="str">
        <x:f>IF(AND(D72,E72,NOT(F72),C72&gt;0),"OK","CHECK")</x:f>
        <x:v>OK</x:v>
      </x:c>
    </x:row>
    <x:row r="73">
      <x:c r="A73" s="54" t="str">
        <x:v>KIT-0005</x:v>
      </x:c>
      <x:c r="B73" s="54" t="str">
        <x:v>LBL-0001</x:v>
      </x:c>
      <x:c r="C73" s="63" t="n">
        <x:v>1</x:v>
      </x:c>
      <x:c r="D73" s="54" t="b">
        <x:f>COUNTIF('Inventory'!$A$4:$A$431,A73)=1</x:f>
        <x:v>1</x:v>
      </x:c>
      <x:c r="E73" s="54" t="b">
        <x:f>COUNTIF('Inventory'!$A$4:$A$431,B73)=1</x:f>
        <x:v>1</x:v>
      </x:c>
      <x:c r="F73" s="54" t="b">
        <x:f>A73=B73</x:f>
        <x:v>0</x:v>
      </x:c>
      <x:c r="G73" s="54" t="str">
        <x:f>IF(AND(D73,E73,NOT(F73),C73&gt;0),"OK","CHECK")</x:f>
        <x:v>OK</x:v>
      </x:c>
    </x:row>
    <x:row r="74">
      <x:c r="A74" s="54" t="str">
        <x:v>KIT-0006</x:v>
      </x:c>
      <x:c r="B74" s="54" t="str">
        <x:v>PRT-0018</x:v>
      </x:c>
      <x:c r="C74" s="63" t="n">
        <x:v>1</x:v>
      </x:c>
      <x:c r="D74" s="54" t="b">
        <x:f>COUNTIF('Inventory'!$A$4:$A$431,A74)=1</x:f>
        <x:v>1</x:v>
      </x:c>
      <x:c r="E74" s="54" t="b">
        <x:f>COUNTIF('Inventory'!$A$4:$A$431,B74)=1</x:f>
        <x:v>1</x:v>
      </x:c>
      <x:c r="F74" s="54" t="b">
        <x:f>A74=B74</x:f>
        <x:v>0</x:v>
      </x:c>
      <x:c r="G74" s="54" t="str">
        <x:f>IF(AND(D74,E74,NOT(F74),C74&gt;0),"OK","CHECK")</x:f>
        <x:v>OK</x:v>
      </x:c>
    </x:row>
    <x:row r="75">
      <x:c r="A75" s="54" t="str">
        <x:v>KIT-0006</x:v>
      </x:c>
      <x:c r="B75" s="54" t="str">
        <x:v>ASM-0009</x:v>
      </x:c>
      <x:c r="C75" s="63" t="n">
        <x:v>1</x:v>
      </x:c>
      <x:c r="D75" s="54" t="b">
        <x:f>COUNTIF('Inventory'!$A$4:$A$431,A75)=1</x:f>
        <x:v>1</x:v>
      </x:c>
      <x:c r="E75" s="54" t="b">
        <x:f>COUNTIF('Inventory'!$A$4:$A$431,B75)=1</x:f>
        <x:v>1</x:v>
      </x:c>
      <x:c r="F75" s="54" t="b">
        <x:f>A75=B75</x:f>
        <x:v>0</x:v>
      </x:c>
      <x:c r="G75" s="54" t="str">
        <x:f>IF(AND(D75,E75,NOT(F75),C75&gt;0),"OK","CHECK")</x:f>
        <x:v>OK</x:v>
      </x:c>
    </x:row>
    <x:row r="76">
      <x:c r="A76" s="54" t="str">
        <x:v>KIT-0006</x:v>
      </x:c>
      <x:c r="B76" s="54" t="str">
        <x:v>KIT-0008</x:v>
      </x:c>
      <x:c r="C76" s="63" t="n">
        <x:v>1</x:v>
      </x:c>
      <x:c r="D76" s="54" t="b">
        <x:f>COUNTIF('Inventory'!$A$4:$A$431,A76)=1</x:f>
        <x:v>1</x:v>
      </x:c>
      <x:c r="E76" s="54" t="b">
        <x:f>COUNTIF('Inventory'!$A$4:$A$431,B76)=1</x:f>
        <x:v>1</x:v>
      </x:c>
      <x:c r="F76" s="54" t="b">
        <x:f>A76=B76</x:f>
        <x:v>0</x:v>
      </x:c>
      <x:c r="G76" s="54" t="str">
        <x:f>IF(AND(D76,E76,NOT(F76),C76&gt;0),"OK","CHECK")</x:f>
        <x:v>OK</x:v>
      </x:c>
    </x:row>
    <x:row r="77">
      <x:c r="A77" s="54" t="str">
        <x:v>KIT-0006</x:v>
      </x:c>
      <x:c r="B77" s="54" t="str">
        <x:v>KIT-0011</x:v>
      </x:c>
      <x:c r="C77" s="63" t="n">
        <x:v>1</x:v>
      </x:c>
      <x:c r="D77" s="54" t="b">
        <x:f>COUNTIF('Inventory'!$A$4:$A$431,A77)=1</x:f>
        <x:v>1</x:v>
      </x:c>
      <x:c r="E77" s="54" t="b">
        <x:f>COUNTIF('Inventory'!$A$4:$A$431,B77)=1</x:f>
        <x:v>1</x:v>
      </x:c>
      <x:c r="F77" s="54" t="b">
        <x:f>A77=B77</x:f>
        <x:v>0</x:v>
      </x:c>
      <x:c r="G77" s="54" t="str">
        <x:f>IF(AND(D77,E77,NOT(F77),C77&gt;0),"OK","CHECK")</x:f>
        <x:v>OK</x:v>
      </x:c>
    </x:row>
    <x:row r="78">
      <x:c r="A78" s="54" t="str">
        <x:v>KIT-0006</x:v>
      </x:c>
      <x:c r="B78" s="54" t="str">
        <x:v>KIT-0013</x:v>
      </x:c>
      <x:c r="C78" s="63" t="n">
        <x:v>1</x:v>
      </x:c>
      <x:c r="D78" s="54" t="b">
        <x:f>COUNTIF('Inventory'!$A$4:$A$431,A78)=1</x:f>
        <x:v>1</x:v>
      </x:c>
      <x:c r="E78" s="54" t="b">
        <x:f>COUNTIF('Inventory'!$A$4:$A$431,B78)=1</x:f>
        <x:v>1</x:v>
      </x:c>
      <x:c r="F78" s="54" t="b">
        <x:f>A78=B78</x:f>
        <x:v>0</x:v>
      </x:c>
      <x:c r="G78" s="54" t="str">
        <x:f>IF(AND(D78,E78,NOT(F78),C78&gt;0),"OK","CHECK")</x:f>
        <x:v>OK</x:v>
      </x:c>
    </x:row>
    <x:row r="79">
      <x:c r="A79" s="54" t="str">
        <x:v>KIT-0006</x:v>
      </x:c>
      <x:c r="B79" s="54" t="str">
        <x:v>LBL-0002</x:v>
      </x:c>
      <x:c r="C79" s="63" t="n">
        <x:v>1</x:v>
      </x:c>
      <x:c r="D79" s="54" t="b">
        <x:f>COUNTIF('Inventory'!$A$4:$A$431,A79)=1</x:f>
        <x:v>1</x:v>
      </x:c>
      <x:c r="E79" s="54" t="b">
        <x:f>COUNTIF('Inventory'!$A$4:$A$431,B79)=1</x:f>
        <x:v>1</x:v>
      </x:c>
      <x:c r="F79" s="54" t="b">
        <x:f>A79=B79</x:f>
        <x:v>0</x:v>
      </x:c>
      <x:c r="G79" s="54" t="str">
        <x:f>IF(AND(D79,E79,NOT(F79),C79&gt;0),"OK","CHECK")</x:f>
        <x:v>OK</x:v>
      </x:c>
    </x:row>
    <x:row r="80">
      <x:c r="A80" s="54" t="str">
        <x:v>KIT-0007</x:v>
      </x:c>
      <x:c r="B80" s="54" t="str">
        <x:v>PRT-0019</x:v>
      </x:c>
      <x:c r="C80" s="63" t="n">
        <x:v>1</x:v>
      </x:c>
      <x:c r="D80" s="54" t="b">
        <x:f>COUNTIF('Inventory'!$A$4:$A$431,A80)=1</x:f>
        <x:v>1</x:v>
      </x:c>
      <x:c r="E80" s="54" t="b">
        <x:f>COUNTIF('Inventory'!$A$4:$A$431,B80)=1</x:f>
        <x:v>1</x:v>
      </x:c>
      <x:c r="F80" s="54" t="b">
        <x:f>A80=B80</x:f>
        <x:v>0</x:v>
      </x:c>
      <x:c r="G80" s="54" t="str">
        <x:f>IF(AND(D80,E80,NOT(F80),C80&gt;0),"OK","CHECK")</x:f>
        <x:v>OK</x:v>
      </x:c>
    </x:row>
    <x:row r="81">
      <x:c r="A81" s="54" t="str">
        <x:v>KIT-0007</x:v>
      </x:c>
      <x:c r="B81" s="54" t="str">
        <x:v>ASM-0010</x:v>
      </x:c>
      <x:c r="C81" s="63" t="n">
        <x:v>1</x:v>
      </x:c>
      <x:c r="D81" s="54" t="b">
        <x:f>COUNTIF('Inventory'!$A$4:$A$431,A81)=1</x:f>
        <x:v>1</x:v>
      </x:c>
      <x:c r="E81" s="54" t="b">
        <x:f>COUNTIF('Inventory'!$A$4:$A$431,B81)=1</x:f>
        <x:v>1</x:v>
      </x:c>
      <x:c r="F81" s="54" t="b">
        <x:f>A81=B81</x:f>
        <x:v>0</x:v>
      </x:c>
      <x:c r="G81" s="54" t="str">
        <x:f>IF(AND(D81,E81,NOT(F81),C81&gt;0),"OK","CHECK")</x:f>
        <x:v>OK</x:v>
      </x:c>
    </x:row>
    <x:row r="82">
      <x:c r="A82" s="54" t="str">
        <x:v>KIT-0007</x:v>
      </x:c>
      <x:c r="B82" s="54" t="str">
        <x:v>KIT-0009</x:v>
      </x:c>
      <x:c r="C82" s="63" t="n">
        <x:v>1</x:v>
      </x:c>
      <x:c r="D82" s="54" t="b">
        <x:f>COUNTIF('Inventory'!$A$4:$A$431,A82)=1</x:f>
        <x:v>1</x:v>
      </x:c>
      <x:c r="E82" s="54" t="b">
        <x:f>COUNTIF('Inventory'!$A$4:$A$431,B82)=1</x:f>
        <x:v>1</x:v>
      </x:c>
      <x:c r="F82" s="54" t="b">
        <x:f>A82=B82</x:f>
        <x:v>0</x:v>
      </x:c>
      <x:c r="G82" s="54" t="str">
        <x:f>IF(AND(D82,E82,NOT(F82),C82&gt;0),"OK","CHECK")</x:f>
        <x:v>OK</x:v>
      </x:c>
    </x:row>
    <x:row r="83">
      <x:c r="A83" s="54" t="str">
        <x:v>KIT-0007</x:v>
      </x:c>
      <x:c r="B83" s="54" t="str">
        <x:v>KIT-0014</x:v>
      </x:c>
      <x:c r="C83" s="63" t="n">
        <x:v>1</x:v>
      </x:c>
      <x:c r="D83" s="54" t="b">
        <x:f>COUNTIF('Inventory'!$A$4:$A$431,A83)=1</x:f>
        <x:v>1</x:v>
      </x:c>
      <x:c r="E83" s="54" t="b">
        <x:f>COUNTIF('Inventory'!$A$4:$A$431,B83)=1</x:f>
        <x:v>1</x:v>
      </x:c>
      <x:c r="F83" s="54" t="b">
        <x:f>A83=B83</x:f>
        <x:v>0</x:v>
      </x:c>
      <x:c r="G83" s="54" t="str">
        <x:f>IF(AND(D83,E83,NOT(F83),C83&gt;0),"OK","CHECK")</x:f>
        <x:v>OK</x:v>
      </x:c>
    </x:row>
    <x:row r="84">
      <x:c r="A84" s="54" t="str">
        <x:v>KIT-0007</x:v>
      </x:c>
      <x:c r="B84" s="54" t="str">
        <x:v>LBL-0003</x:v>
      </x:c>
      <x:c r="C84" s="63" t="n">
        <x:v>1</x:v>
      </x:c>
      <x:c r="D84" s="54" t="b">
        <x:f>COUNTIF('Inventory'!$A$4:$A$431,A84)=1</x:f>
        <x:v>1</x:v>
      </x:c>
      <x:c r="E84" s="54" t="b">
        <x:f>COUNTIF('Inventory'!$A$4:$A$431,B84)=1</x:f>
        <x:v>1</x:v>
      </x:c>
      <x:c r="F84" s="54" t="b">
        <x:f>A84=B84</x:f>
        <x:v>0</x:v>
      </x:c>
      <x:c r="G84" s="54" t="str">
        <x:f>IF(AND(D84,E84,NOT(F84),C84&gt;0),"OK","CHECK")</x:f>
        <x:v>OK</x:v>
      </x:c>
    </x:row>
    <x:row r="85">
      <x:c r="A85" s="54" t="str">
        <x:v>ASM-0008</x:v>
      </x:c>
      <x:c r="B85" s="54" t="str">
        <x:v>PRT-0020</x:v>
      </x:c>
      <x:c r="C85" s="63" t="n">
        <x:v>2</x:v>
      </x:c>
      <x:c r="D85" s="54" t="b">
        <x:f>COUNTIF('Inventory'!$A$4:$A$431,A85)=1</x:f>
        <x:v>1</x:v>
      </x:c>
      <x:c r="E85" s="54" t="b">
        <x:f>COUNTIF('Inventory'!$A$4:$A$431,B85)=1</x:f>
        <x:v>1</x:v>
      </x:c>
      <x:c r="F85" s="54" t="b">
        <x:f>A85=B85</x:f>
        <x:v>0</x:v>
      </x:c>
      <x:c r="G85" s="54" t="str">
        <x:f>IF(AND(D85,E85,NOT(F85),C85&gt;0),"OK","CHECK")</x:f>
        <x:v>OK</x:v>
      </x:c>
    </x:row>
    <x:row r="86">
      <x:c r="A86" s="54" t="str">
        <x:v>ASM-0008</x:v>
      </x:c>
      <x:c r="B86" s="54" t="str">
        <x:v>PRT-0022</x:v>
      </x:c>
      <x:c r="C86" s="63" t="n">
        <x:v>1</x:v>
      </x:c>
      <x:c r="D86" s="54" t="b">
        <x:f>COUNTIF('Inventory'!$A$4:$A$431,A86)=1</x:f>
        <x:v>1</x:v>
      </x:c>
      <x:c r="E86" s="54" t="b">
        <x:f>COUNTIF('Inventory'!$A$4:$A$431,B86)=1</x:f>
        <x:v>1</x:v>
      </x:c>
      <x:c r="F86" s="54" t="b">
        <x:f>A86=B86</x:f>
        <x:v>0</x:v>
      </x:c>
      <x:c r="G86" s="54" t="str">
        <x:f>IF(AND(D86,E86,NOT(F86),C86&gt;0),"OK","CHECK")</x:f>
        <x:v>OK</x:v>
      </x:c>
    </x:row>
    <x:row r="87">
      <x:c r="A87" s="54" t="str">
        <x:v>ASM-0008</x:v>
      </x:c>
      <x:c r="B87" s="54" t="str">
        <x:v>PRT-0024</x:v>
      </x:c>
      <x:c r="C87" s="63" t="n">
        <x:v>2</x:v>
      </x:c>
      <x:c r="D87" s="54" t="b">
        <x:f>COUNTIF('Inventory'!$A$4:$A$431,A87)=1</x:f>
        <x:v>1</x:v>
      </x:c>
      <x:c r="E87" s="54" t="b">
        <x:f>COUNTIF('Inventory'!$A$4:$A$431,B87)=1</x:f>
        <x:v>1</x:v>
      </x:c>
      <x:c r="F87" s="54" t="b">
        <x:f>A87=B87</x:f>
        <x:v>0</x:v>
      </x:c>
      <x:c r="G87" s="54" t="str">
        <x:f>IF(AND(D87,E87,NOT(F87),C87&gt;0),"OK","CHECK")</x:f>
        <x:v>OK</x:v>
      </x:c>
    </x:row>
    <x:row r="88">
      <x:c r="A88" s="54" t="str">
        <x:v>ASM-0008</x:v>
      </x:c>
      <x:c r="B88" s="54" t="str">
        <x:v>PRT-0026</x:v>
      </x:c>
      <x:c r="C88" s="63" t="n">
        <x:v>4</x:v>
      </x:c>
      <x:c r="D88" s="54" t="b">
        <x:f>COUNTIF('Inventory'!$A$4:$A$431,A88)=1</x:f>
        <x:v>1</x:v>
      </x:c>
      <x:c r="E88" s="54" t="b">
        <x:f>COUNTIF('Inventory'!$A$4:$A$431,B88)=1</x:f>
        <x:v>1</x:v>
      </x:c>
      <x:c r="F88" s="54" t="b">
        <x:f>A88=B88</x:f>
        <x:v>0</x:v>
      </x:c>
      <x:c r="G88" s="54" t="str">
        <x:f>IF(AND(D88,E88,NOT(F88),C88&gt;0),"OK","CHECK")</x:f>
        <x:v>OK</x:v>
      </x:c>
    </x:row>
    <x:row r="89">
      <x:c r="A89" s="54" t="str">
        <x:v>ASM-0008</x:v>
      </x:c>
      <x:c r="B89" s="54" t="str">
        <x:v>PRT-0028</x:v>
      </x:c>
      <x:c r="C89" s="63" t="n">
        <x:v>2</x:v>
      </x:c>
      <x:c r="D89" s="54" t="b">
        <x:f>COUNTIF('Inventory'!$A$4:$A$431,A89)=1</x:f>
        <x:v>1</x:v>
      </x:c>
      <x:c r="E89" s="54" t="b">
        <x:f>COUNTIF('Inventory'!$A$4:$A$431,B89)=1</x:f>
        <x:v>1</x:v>
      </x:c>
      <x:c r="F89" s="54" t="b">
        <x:f>A89=B89</x:f>
        <x:v>0</x:v>
      </x:c>
      <x:c r="G89" s="54" t="str">
        <x:f>IF(AND(D89,E89,NOT(F89),C89&gt;0),"OK","CHECK")</x:f>
        <x:v>OK</x:v>
      </x:c>
    </x:row>
    <x:row r="90">
      <x:c r="A90" s="54" t="str">
        <x:v>ASM-0008</x:v>
      </x:c>
      <x:c r="B90" s="54" t="str">
        <x:v>PRT-0029</x:v>
      </x:c>
      <x:c r="C90" s="63" t="n">
        <x:v>4</x:v>
      </x:c>
      <x:c r="D90" s="54" t="b">
        <x:f>COUNTIF('Inventory'!$A$4:$A$431,A90)=1</x:f>
        <x:v>1</x:v>
      </x:c>
      <x:c r="E90" s="54" t="b">
        <x:f>COUNTIF('Inventory'!$A$4:$A$431,B90)=1</x:f>
        <x:v>1</x:v>
      </x:c>
      <x:c r="F90" s="54" t="b">
        <x:f>A90=B90</x:f>
        <x:v>0</x:v>
      </x:c>
      <x:c r="G90" s="54" t="str">
        <x:f>IF(AND(D90,E90,NOT(F90),C90&gt;0),"OK","CHECK")</x:f>
        <x:v>OK</x:v>
      </x:c>
    </x:row>
    <x:row r="91">
      <x:c r="A91" s="54" t="str">
        <x:v>ASM-0008</x:v>
      </x:c>
      <x:c r="B91" s="54" t="str">
        <x:v>ASM-0011</x:v>
      </x:c>
      <x:c r="C91" s="63" t="n">
        <x:v>2</x:v>
      </x:c>
      <x:c r="D91" s="54" t="b">
        <x:f>COUNTIF('Inventory'!$A$4:$A$431,A91)=1</x:f>
        <x:v>1</x:v>
      </x:c>
      <x:c r="E91" s="54" t="b">
        <x:f>COUNTIF('Inventory'!$A$4:$A$431,B91)=1</x:f>
        <x:v>1</x:v>
      </x:c>
      <x:c r="F91" s="54" t="b">
        <x:f>A91=B91</x:f>
        <x:v>0</x:v>
      </x:c>
      <x:c r="G91" s="54" t="str">
        <x:f>IF(AND(D91,E91,NOT(F91),C91&gt;0),"OK","CHECK")</x:f>
        <x:v>OK</x:v>
      </x:c>
    </x:row>
    <x:row r="92">
      <x:c r="A92" s="54" t="str">
        <x:v>ASM-0008</x:v>
      </x:c>
      <x:c r="B92" s="54" t="str">
        <x:v>PRT-0030</x:v>
      </x:c>
      <x:c r="C92" s="63" t="n">
        <x:v>1</x:v>
      </x:c>
      <x:c r="D92" s="54" t="b">
        <x:f>COUNTIF('Inventory'!$A$4:$A$431,A92)=1</x:f>
        <x:v>1</x:v>
      </x:c>
      <x:c r="E92" s="54" t="b">
        <x:f>COUNTIF('Inventory'!$A$4:$A$431,B92)=1</x:f>
        <x:v>1</x:v>
      </x:c>
      <x:c r="F92" s="54" t="b">
        <x:f>A92=B92</x:f>
        <x:v>0</x:v>
      </x:c>
      <x:c r="G92" s="54" t="str">
        <x:f>IF(AND(D92,E92,NOT(F92),C92&gt;0),"OK","CHECK")</x:f>
        <x:v>OK</x:v>
      </x:c>
    </x:row>
    <x:row r="93">
      <x:c r="A93" s="54" t="str">
        <x:v>ASM-0009</x:v>
      </x:c>
      <x:c r="B93" s="54" t="str">
        <x:v>PRT-0021</x:v>
      </x:c>
      <x:c r="C93" s="63" t="n">
        <x:v>2</x:v>
      </x:c>
      <x:c r="D93" s="54" t="b">
        <x:f>COUNTIF('Inventory'!$A$4:$A$431,A93)=1</x:f>
        <x:v>1</x:v>
      </x:c>
      <x:c r="E93" s="54" t="b">
        <x:f>COUNTIF('Inventory'!$A$4:$A$431,B93)=1</x:f>
        <x:v>1</x:v>
      </x:c>
      <x:c r="F93" s="54" t="b">
        <x:f>A93=B93</x:f>
        <x:v>0</x:v>
      </x:c>
      <x:c r="G93" s="54" t="str">
        <x:f>IF(AND(D93,E93,NOT(F93),C93&gt;0),"OK","CHECK")</x:f>
        <x:v>OK</x:v>
      </x:c>
    </x:row>
    <x:row r="94">
      <x:c r="A94" s="54" t="str">
        <x:v>ASM-0009</x:v>
      </x:c>
      <x:c r="B94" s="54" t="str">
        <x:v>PRT-0023</x:v>
      </x:c>
      <x:c r="C94" s="63" t="n">
        <x:v>1</x:v>
      </x:c>
      <x:c r="D94" s="54" t="b">
        <x:f>COUNTIF('Inventory'!$A$4:$A$431,A94)=1</x:f>
        <x:v>1</x:v>
      </x:c>
      <x:c r="E94" s="54" t="b">
        <x:f>COUNTIF('Inventory'!$A$4:$A$431,B94)=1</x:f>
        <x:v>1</x:v>
      </x:c>
      <x:c r="F94" s="54" t="b">
        <x:f>A94=B94</x:f>
        <x:v>0</x:v>
      </x:c>
      <x:c r="G94" s="54" t="str">
        <x:f>IF(AND(D94,E94,NOT(F94),C94&gt;0),"OK","CHECK")</x:f>
        <x:v>OK</x:v>
      </x:c>
    </x:row>
    <x:row r="95">
      <x:c r="A95" s="54" t="str">
        <x:v>ASM-0009</x:v>
      </x:c>
      <x:c r="B95" s="54" t="str">
        <x:v>PRT-0025</x:v>
      </x:c>
      <x:c r="C95" s="63" t="n">
        <x:v>2</x:v>
      </x:c>
      <x:c r="D95" s="54" t="b">
        <x:f>COUNTIF('Inventory'!$A$4:$A$431,A95)=1</x:f>
        <x:v>1</x:v>
      </x:c>
      <x:c r="E95" s="54" t="b">
        <x:f>COUNTIF('Inventory'!$A$4:$A$431,B95)=1</x:f>
        <x:v>1</x:v>
      </x:c>
      <x:c r="F95" s="54" t="b">
        <x:f>A95=B95</x:f>
        <x:v>0</x:v>
      </x:c>
      <x:c r="G95" s="54" t="str">
        <x:f>IF(AND(D95,E95,NOT(F95),C95&gt;0),"OK","CHECK")</x:f>
        <x:v>OK</x:v>
      </x:c>
    </x:row>
    <x:row r="96">
      <x:c r="A96" s="54" t="str">
        <x:v>ASM-0009</x:v>
      </x:c>
      <x:c r="B96" s="54" t="str">
        <x:v>PRT-0027</x:v>
      </x:c>
      <x:c r="C96" s="63" t="n">
        <x:v>4</x:v>
      </x:c>
      <x:c r="D96" s="54" t="b">
        <x:f>COUNTIF('Inventory'!$A$4:$A$431,A96)=1</x:f>
        <x:v>1</x:v>
      </x:c>
      <x:c r="E96" s="54" t="b">
        <x:f>COUNTIF('Inventory'!$A$4:$A$431,B96)=1</x:f>
        <x:v>1</x:v>
      </x:c>
      <x:c r="F96" s="54" t="b">
        <x:f>A96=B96</x:f>
        <x:v>0</x:v>
      </x:c>
      <x:c r="G96" s="54" t="str">
        <x:f>IF(AND(D96,E96,NOT(F96),C96&gt;0),"OK","CHECK")</x:f>
        <x:v>OK</x:v>
      </x:c>
    </x:row>
    <x:row r="97">
      <x:c r="A97" s="54" t="str">
        <x:v>ASM-0009</x:v>
      </x:c>
      <x:c r="B97" s="54" t="str">
        <x:v>PRT-0028</x:v>
      </x:c>
      <x:c r="C97" s="63" t="n">
        <x:v>2</x:v>
      </x:c>
      <x:c r="D97" s="54" t="b">
        <x:f>COUNTIF('Inventory'!$A$4:$A$431,A97)=1</x:f>
        <x:v>1</x:v>
      </x:c>
      <x:c r="E97" s="54" t="b">
        <x:f>COUNTIF('Inventory'!$A$4:$A$431,B97)=1</x:f>
        <x:v>1</x:v>
      </x:c>
      <x:c r="F97" s="54" t="b">
        <x:f>A97=B97</x:f>
        <x:v>0</x:v>
      </x:c>
      <x:c r="G97" s="54" t="str">
        <x:f>IF(AND(D97,E97,NOT(F97),C97&gt;0),"OK","CHECK")</x:f>
        <x:v>OK</x:v>
      </x:c>
    </x:row>
    <x:row r="98">
      <x:c r="A98" s="54" t="str">
        <x:v>ASM-0009</x:v>
      </x:c>
      <x:c r="B98" s="54" t="str">
        <x:v>PRT-0029</x:v>
      </x:c>
      <x:c r="C98" s="63" t="n">
        <x:v>4</x:v>
      </x:c>
      <x:c r="D98" s="54" t="b">
        <x:f>COUNTIF('Inventory'!$A$4:$A$431,A98)=1</x:f>
        <x:v>1</x:v>
      </x:c>
      <x:c r="E98" s="54" t="b">
        <x:f>COUNTIF('Inventory'!$A$4:$A$431,B98)=1</x:f>
        <x:v>1</x:v>
      </x:c>
      <x:c r="F98" s="54" t="b">
        <x:f>A98=B98</x:f>
        <x:v>0</x:v>
      </x:c>
      <x:c r="G98" s="54" t="str">
        <x:f>IF(AND(D98,E98,NOT(F98),C98&gt;0),"OK","CHECK")</x:f>
        <x:v>OK</x:v>
      </x:c>
    </x:row>
    <x:row r="99">
      <x:c r="A99" s="54" t="str">
        <x:v>ASM-0009</x:v>
      </x:c>
      <x:c r="B99" s="54" t="str">
        <x:v>ASM-0011</x:v>
      </x:c>
      <x:c r="C99" s="63" t="n">
        <x:v>2</x:v>
      </x:c>
      <x:c r="D99" s="54" t="b">
        <x:f>COUNTIF('Inventory'!$A$4:$A$431,A99)=1</x:f>
        <x:v>1</x:v>
      </x:c>
      <x:c r="E99" s="54" t="b">
        <x:f>COUNTIF('Inventory'!$A$4:$A$431,B99)=1</x:f>
        <x:v>1</x:v>
      </x:c>
      <x:c r="F99" s="54" t="b">
        <x:f>A99=B99</x:f>
        <x:v>0</x:v>
      </x:c>
      <x:c r="G99" s="54" t="str">
        <x:f>IF(AND(D99,E99,NOT(F99),C99&gt;0),"OK","CHECK")</x:f>
        <x:v>OK</x:v>
      </x:c>
    </x:row>
    <x:row r="100">
      <x:c r="A100" s="54" t="str">
        <x:v>ASM-0009</x:v>
      </x:c>
      <x:c r="B100" s="54" t="str">
        <x:v>PRT-0030</x:v>
      </x:c>
      <x:c r="C100" s="63" t="n">
        <x:v>1</x:v>
      </x:c>
      <x:c r="D100" s="54" t="b">
        <x:f>COUNTIF('Inventory'!$A$4:$A$431,A100)=1</x:f>
        <x:v>1</x:v>
      </x:c>
      <x:c r="E100" s="54" t="b">
        <x:f>COUNTIF('Inventory'!$A$4:$A$431,B100)=1</x:f>
        <x:v>1</x:v>
      </x:c>
      <x:c r="F100" s="54" t="b">
        <x:f>A100=B100</x:f>
        <x:v>0</x:v>
      </x:c>
      <x:c r="G100" s="54" t="str">
        <x:f>IF(AND(D100,E100,NOT(F100),C100&gt;0),"OK","CHECK")</x:f>
        <x:v>OK</x:v>
      </x:c>
    </x:row>
    <x:row r="101">
      <x:c r="A101" s="54" t="str">
        <x:v>KIT-0008</x:v>
      </x:c>
      <x:c r="B101" s="54" t="str">
        <x:v>PRT-0031</x:v>
      </x:c>
      <x:c r="C101" s="63" t="n">
        <x:v>1</x:v>
      </x:c>
      <x:c r="D101" s="54" t="b">
        <x:f>COUNTIF('Inventory'!$A$4:$A$431,A101)=1</x:f>
        <x:v>1</x:v>
      </x:c>
      <x:c r="E101" s="54" t="b">
        <x:f>COUNTIF('Inventory'!$A$4:$A$431,B101)=1</x:f>
        <x:v>1</x:v>
      </x:c>
      <x:c r="F101" s="54" t="b">
        <x:f>A101=B101</x:f>
        <x:v>0</x:v>
      </x:c>
      <x:c r="G101" s="54" t="str">
        <x:f>IF(AND(D101,E101,NOT(F101),C101&gt;0),"OK","CHECK")</x:f>
        <x:v>OK</x:v>
      </x:c>
    </x:row>
    <x:row r="102">
      <x:c r="A102" s="54" t="str">
        <x:v>KIT-0008</x:v>
      </x:c>
      <x:c r="B102" s="54" t="str">
        <x:v>PRT-0032</x:v>
      </x:c>
      <x:c r="C102" s="63" t="n">
        <x:v>1</x:v>
      </x:c>
      <x:c r="D102" s="54" t="b">
        <x:f>COUNTIF('Inventory'!$A$4:$A$431,A102)=1</x:f>
        <x:v>1</x:v>
      </x:c>
      <x:c r="E102" s="54" t="b">
        <x:f>COUNTIF('Inventory'!$A$4:$A$431,B102)=1</x:f>
        <x:v>1</x:v>
      </x:c>
      <x:c r="F102" s="54" t="b">
        <x:f>A102=B102</x:f>
        <x:v>0</x:v>
      </x:c>
      <x:c r="G102" s="54" t="str">
        <x:f>IF(AND(D102,E102,NOT(F102),C102&gt;0),"OK","CHECK")</x:f>
        <x:v>OK</x:v>
      </x:c>
    </x:row>
    <x:row r="103">
      <x:c r="A103" s="54" t="str">
        <x:v>KIT-0008</x:v>
      </x:c>
      <x:c r="B103" s="54" t="str">
        <x:v>PRT-0033</x:v>
      </x:c>
      <x:c r="C103" s="63" t="n">
        <x:v>1</x:v>
      </x:c>
      <x:c r="D103" s="54" t="b">
        <x:f>COUNTIF('Inventory'!$A$4:$A$431,A103)=1</x:f>
        <x:v>1</x:v>
      </x:c>
      <x:c r="E103" s="54" t="b">
        <x:f>COUNTIF('Inventory'!$A$4:$A$431,B103)=1</x:f>
        <x:v>1</x:v>
      </x:c>
      <x:c r="F103" s="54" t="b">
        <x:f>A103=B103</x:f>
        <x:v>0</x:v>
      </x:c>
      <x:c r="G103" s="54" t="str">
        <x:f>IF(AND(D103,E103,NOT(F103),C103&gt;0),"OK","CHECK")</x:f>
        <x:v>OK</x:v>
      </x:c>
    </x:row>
    <x:row r="104">
      <x:c r="A104" s="54" t="str">
        <x:v>KIT-0008</x:v>
      </x:c>
      <x:c r="B104" s="54" t="str">
        <x:v>PRT-0034</x:v>
      </x:c>
      <x:c r="C104" s="63" t="n">
        <x:v>1</x:v>
      </x:c>
      <x:c r="D104" s="54" t="b">
        <x:f>COUNTIF('Inventory'!$A$4:$A$431,A104)=1</x:f>
        <x:v>1</x:v>
      </x:c>
      <x:c r="E104" s="54" t="b">
        <x:f>COUNTIF('Inventory'!$A$4:$A$431,B104)=1</x:f>
        <x:v>1</x:v>
      </x:c>
      <x:c r="F104" s="54" t="b">
        <x:f>A104=B104</x:f>
        <x:v>0</x:v>
      </x:c>
      <x:c r="G104" s="54" t="str">
        <x:f>IF(AND(D104,E104,NOT(F104),C104&gt;0),"OK","CHECK")</x:f>
        <x:v>OK</x:v>
      </x:c>
    </x:row>
    <x:row r="105">
      <x:c r="A105" s="54" t="str">
        <x:v>KIT-0008</x:v>
      </x:c>
      <x:c r="B105" s="54" t="str">
        <x:v>PRT-0035</x:v>
      </x:c>
      <x:c r="C105" s="63" t="n">
        <x:v>1</x:v>
      </x:c>
      <x:c r="D105" s="54" t="b">
        <x:f>COUNTIF('Inventory'!$A$4:$A$431,A105)=1</x:f>
        <x:v>1</x:v>
      </x:c>
      <x:c r="E105" s="54" t="b">
        <x:f>COUNTIF('Inventory'!$A$4:$A$431,B105)=1</x:f>
        <x:v>1</x:v>
      </x:c>
      <x:c r="F105" s="54" t="b">
        <x:f>A105=B105</x:f>
        <x:v>0</x:v>
      </x:c>
      <x:c r="G105" s="54" t="str">
        <x:f>IF(AND(D105,E105,NOT(F105),C105&gt;0),"OK","CHECK")</x:f>
        <x:v>OK</x:v>
      </x:c>
    </x:row>
    <x:row r="106">
      <x:c r="A106" s="54" t="str">
        <x:v>KIT-0008</x:v>
      </x:c>
      <x:c r="B106" s="54" t="str">
        <x:v>PRT-0036</x:v>
      </x:c>
      <x:c r="C106" s="63" t="n">
        <x:v>2</x:v>
      </x:c>
      <x:c r="D106" s="54" t="b">
        <x:f>COUNTIF('Inventory'!$A$4:$A$431,A106)=1</x:f>
        <x:v>1</x:v>
      </x:c>
      <x:c r="E106" s="54" t="b">
        <x:f>COUNTIF('Inventory'!$A$4:$A$431,B106)=1</x:f>
        <x:v>1</x:v>
      </x:c>
      <x:c r="F106" s="54" t="b">
        <x:f>A106=B106</x:f>
        <x:v>0</x:v>
      </x:c>
      <x:c r="G106" s="54" t="str">
        <x:f>IF(AND(D106,E106,NOT(F106),C106&gt;0),"OK","CHECK")</x:f>
        <x:v>OK</x:v>
      </x:c>
    </x:row>
    <x:row r="107">
      <x:c r="A107" s="54" t="str">
        <x:v>KIT-0008</x:v>
      </x:c>
      <x:c r="B107" s="54" t="str">
        <x:v>KIT-0015</x:v>
      </x:c>
      <x:c r="C107" s="63" t="n">
        <x:v>1</x:v>
      </x:c>
      <x:c r="D107" s="54" t="b">
        <x:f>COUNTIF('Inventory'!$A$4:$A$431,A107)=1</x:f>
        <x:v>1</x:v>
      </x:c>
      <x:c r="E107" s="54" t="b">
        <x:f>COUNTIF('Inventory'!$A$4:$A$431,B107)=1</x:f>
        <x:v>1</x:v>
      </x:c>
      <x:c r="F107" s="54" t="b">
        <x:f>A107=B107</x:f>
        <x:v>0</x:v>
      </x:c>
      <x:c r="G107" s="54" t="str">
        <x:f>IF(AND(D107,E107,NOT(F107),C107&gt;0),"OK","CHECK")</x:f>
        <x:v>OK</x:v>
      </x:c>
    </x:row>
    <x:row r="108">
      <x:c r="A108" s="54" t="str">
        <x:v>KIT-0008</x:v>
      </x:c>
      <x:c r="B108" s="54" t="str">
        <x:v>PRT-0037</x:v>
      </x:c>
      <x:c r="C108" s="63" t="n">
        <x:v>1</x:v>
      </x:c>
      <x:c r="D108" s="54" t="b">
        <x:f>COUNTIF('Inventory'!$A$4:$A$431,A108)=1</x:f>
        <x:v>1</x:v>
      </x:c>
      <x:c r="E108" s="54" t="b">
        <x:f>COUNTIF('Inventory'!$A$4:$A$431,B108)=1</x:f>
        <x:v>1</x:v>
      </x:c>
      <x:c r="F108" s="54" t="b">
        <x:f>A108=B108</x:f>
        <x:v>0</x:v>
      </x:c>
      <x:c r="G108" s="54" t="str">
        <x:f>IF(AND(D108,E108,NOT(F108),C108&gt;0),"OK","CHECK")</x:f>
        <x:v>OK</x:v>
      </x:c>
    </x:row>
    <x:row r="109">
      <x:c r="A109" s="54" t="str">
        <x:v>KIT-0008</x:v>
      </x:c>
      <x:c r="B109" s="54" t="str">
        <x:v>PRT-0040</x:v>
      </x:c>
      <x:c r="C109" s="63" t="n">
        <x:v>1</x:v>
      </x:c>
      <x:c r="D109" s="54" t="b">
        <x:f>COUNTIF('Inventory'!$A$4:$A$431,A109)=1</x:f>
        <x:v>1</x:v>
      </x:c>
      <x:c r="E109" s="54" t="b">
        <x:f>COUNTIF('Inventory'!$A$4:$A$431,B109)=1</x:f>
        <x:v>1</x:v>
      </x:c>
      <x:c r="F109" s="54" t="b">
        <x:f>A109=B109</x:f>
        <x:v>0</x:v>
      </x:c>
      <x:c r="G109" s="54" t="str">
        <x:f>IF(AND(D109,E109,NOT(F109),C109&gt;0),"OK","CHECK")</x:f>
        <x:v>OK</x:v>
      </x:c>
    </x:row>
    <x:row r="110">
      <x:c r="A110" s="54" t="str">
        <x:v>KIT-0009</x:v>
      </x:c>
      <x:c r="B110" s="54" t="str">
        <x:v>ASM-0012</x:v>
      </x:c>
      <x:c r="C110" s="63" t="n">
        <x:v>1</x:v>
      </x:c>
      <x:c r="D110" s="54" t="b">
        <x:f>COUNTIF('Inventory'!$A$4:$A$431,A110)=1</x:f>
        <x:v>1</x:v>
      </x:c>
      <x:c r="E110" s="54" t="b">
        <x:f>COUNTIF('Inventory'!$A$4:$A$431,B110)=1</x:f>
        <x:v>1</x:v>
      </x:c>
      <x:c r="F110" s="54" t="b">
        <x:f>A110=B110</x:f>
        <x:v>0</x:v>
      </x:c>
      <x:c r="G110" s="54" t="str">
        <x:f>IF(AND(D110,E110,NOT(F110),C110&gt;0),"OK","CHECK")</x:f>
        <x:v>OK</x:v>
      </x:c>
    </x:row>
    <x:row r="111">
      <x:c r="A111" s="54" t="str">
        <x:v>KIT-0009</x:v>
      </x:c>
      <x:c r="B111" s="54" t="str">
        <x:v>KIT-0015</x:v>
      </x:c>
      <x:c r="C111" s="63" t="n">
        <x:v>1</x:v>
      </x:c>
      <x:c r="D111" s="54" t="b">
        <x:f>COUNTIF('Inventory'!$A$4:$A$431,A111)=1</x:f>
        <x:v>1</x:v>
      </x:c>
      <x:c r="E111" s="54" t="b">
        <x:f>COUNTIF('Inventory'!$A$4:$A$431,B111)=1</x:f>
        <x:v>1</x:v>
      </x:c>
      <x:c r="F111" s="54" t="b">
        <x:f>A111=B111</x:f>
        <x:v>0</x:v>
      </x:c>
      <x:c r="G111" s="54" t="str">
        <x:f>IF(AND(D111,E111,NOT(F111),C111&gt;0),"OK","CHECK")</x:f>
        <x:v>OK</x:v>
      </x:c>
    </x:row>
    <x:row r="112">
      <x:c r="A112" s="54" t="str">
        <x:v>KIT-0009</x:v>
      </x:c>
      <x:c r="B112" s="54" t="str">
        <x:v>PRT-0037</x:v>
      </x:c>
      <x:c r="C112" s="63" t="n">
        <x:v>1</x:v>
      </x:c>
      <x:c r="D112" s="54" t="b">
        <x:f>COUNTIF('Inventory'!$A$4:$A$431,A112)=1</x:f>
        <x:v>1</x:v>
      </x:c>
      <x:c r="E112" s="54" t="b">
        <x:f>COUNTIF('Inventory'!$A$4:$A$431,B112)=1</x:f>
        <x:v>1</x:v>
      </x:c>
      <x:c r="F112" s="54" t="b">
        <x:f>A112=B112</x:f>
        <x:v>0</x:v>
      </x:c>
      <x:c r="G112" s="54" t="str">
        <x:f>IF(AND(D112,E112,NOT(F112),C112&gt;0),"OK","CHECK")</x:f>
        <x:v>OK</x:v>
      </x:c>
    </x:row>
    <x:row r="113">
      <x:c r="A113" s="54" t="str">
        <x:v>ASM-0010</x:v>
      </x:c>
      <x:c r="B113" s="54" t="str">
        <x:v>PRT-0041</x:v>
      </x:c>
      <x:c r="C113" s="63" t="n">
        <x:v>1</x:v>
      </x:c>
      <x:c r="D113" s="54" t="b">
        <x:f>COUNTIF('Inventory'!$A$4:$A$431,A113)=1</x:f>
        <x:v>1</x:v>
      </x:c>
      <x:c r="E113" s="54" t="b">
        <x:f>COUNTIF('Inventory'!$A$4:$A$431,B113)=1</x:f>
        <x:v>1</x:v>
      </x:c>
      <x:c r="F113" s="54" t="b">
        <x:f>A113=B113</x:f>
        <x:v>0</x:v>
      </x:c>
      <x:c r="G113" s="54" t="str">
        <x:f>IF(AND(D113,E113,NOT(F113),C113&gt;0),"OK","CHECK")</x:f>
        <x:v>OK</x:v>
      </x:c>
    </x:row>
    <x:row r="114">
      <x:c r="A114" s="54" t="str">
        <x:v>ASM-0010</x:v>
      </x:c>
      <x:c r="B114" s="54" t="str">
        <x:v>PRT-0042</x:v>
      </x:c>
      <x:c r="C114" s="63" t="n">
        <x:v>1</x:v>
      </x:c>
      <x:c r="D114" s="54" t="b">
        <x:f>COUNTIF('Inventory'!$A$4:$A$431,A114)=1</x:f>
        <x:v>1</x:v>
      </x:c>
      <x:c r="E114" s="54" t="b">
        <x:f>COUNTIF('Inventory'!$A$4:$A$431,B114)=1</x:f>
        <x:v>1</x:v>
      </x:c>
      <x:c r="F114" s="54" t="b">
        <x:f>A114=B114</x:f>
        <x:v>0</x:v>
      </x:c>
      <x:c r="G114" s="54" t="str">
        <x:f>IF(AND(D114,E114,NOT(F114),C114&gt;0),"OK","CHECK")</x:f>
        <x:v>OK</x:v>
      </x:c>
    </x:row>
    <x:row r="115">
      <x:c r="A115" s="54" t="str">
        <x:v>KIT-0010</x:v>
      </x:c>
      <x:c r="B115" s="54" t="str">
        <x:v>PRT-0043</x:v>
      </x:c>
      <x:c r="C115" s="63" t="n">
        <x:v>1</x:v>
      </x:c>
      <x:c r="D115" s="54" t="b">
        <x:f>COUNTIF('Inventory'!$A$4:$A$431,A115)=1</x:f>
        <x:v>1</x:v>
      </x:c>
      <x:c r="E115" s="54" t="b">
        <x:f>COUNTIF('Inventory'!$A$4:$A$431,B115)=1</x:f>
        <x:v>1</x:v>
      </x:c>
      <x:c r="F115" s="54" t="b">
        <x:f>A115=B115</x:f>
        <x:v>0</x:v>
      </x:c>
      <x:c r="G115" s="54" t="str">
        <x:f>IF(AND(D115,E115,NOT(F115),C115&gt;0),"OK","CHECK")</x:f>
        <x:v>OK</x:v>
      </x:c>
    </x:row>
    <x:row r="116">
      <x:c r="A116" s="54" t="str">
        <x:v>KIT-0010</x:v>
      </x:c>
      <x:c r="B116" s="54" t="str">
        <x:v>ASM-0013</x:v>
      </x:c>
      <x:c r="C116" s="63" t="n">
        <x:v>2</x:v>
      </x:c>
      <x:c r="D116" s="54" t="b">
        <x:f>COUNTIF('Inventory'!$A$4:$A$431,A116)=1</x:f>
        <x:v>1</x:v>
      </x:c>
      <x:c r="E116" s="54" t="b">
        <x:f>COUNTIF('Inventory'!$A$4:$A$431,B116)=1</x:f>
        <x:v>1</x:v>
      </x:c>
      <x:c r="F116" s="54" t="b">
        <x:f>A116=B116</x:f>
        <x:v>0</x:v>
      </x:c>
      <x:c r="G116" s="54" t="str">
        <x:f>IF(AND(D116,E116,NOT(F116),C116&gt;0),"OK","CHECK")</x:f>
        <x:v>OK</x:v>
      </x:c>
    </x:row>
    <x:row r="117">
      <x:c r="A117" s="54" t="str">
        <x:v>KIT-0011</x:v>
      </x:c>
      <x:c r="B117" s="54" t="str">
        <x:v>PRT-0044</x:v>
      </x:c>
      <x:c r="C117" s="63" t="n">
        <x:v>1</x:v>
      </x:c>
      <x:c r="D117" s="54" t="b">
        <x:f>COUNTIF('Inventory'!$A$4:$A$431,A117)=1</x:f>
        <x:v>1</x:v>
      </x:c>
      <x:c r="E117" s="54" t="b">
        <x:f>COUNTIF('Inventory'!$A$4:$A$431,B117)=1</x:f>
        <x:v>1</x:v>
      </x:c>
      <x:c r="F117" s="54" t="b">
        <x:f>A117=B117</x:f>
        <x:v>0</x:v>
      </x:c>
      <x:c r="G117" s="54" t="str">
        <x:f>IF(AND(D117,E117,NOT(F117),C117&gt;0),"OK","CHECK")</x:f>
        <x:v>OK</x:v>
      </x:c>
    </x:row>
    <x:row r="118">
      <x:c r="A118" s="54" t="str">
        <x:v>KIT-0011</x:v>
      </x:c>
      <x:c r="B118" s="54" t="str">
        <x:v>ASM-0013</x:v>
      </x:c>
      <x:c r="C118" s="63" t="n">
        <x:v>2</x:v>
      </x:c>
      <x:c r="D118" s="54" t="b">
        <x:f>COUNTIF('Inventory'!$A$4:$A$431,A118)=1</x:f>
        <x:v>1</x:v>
      </x:c>
      <x:c r="E118" s="54" t="b">
        <x:f>COUNTIF('Inventory'!$A$4:$A$431,B118)=1</x:f>
        <x:v>1</x:v>
      </x:c>
      <x:c r="F118" s="54" t="b">
        <x:f>A118=B118</x:f>
        <x:v>0</x:v>
      </x:c>
      <x:c r="G118" s="54" t="str">
        <x:f>IF(AND(D118,E118,NOT(F118),C118&gt;0),"OK","CHECK")</x:f>
        <x:v>OK</x:v>
      </x:c>
    </x:row>
    <x:row r="119">
      <x:c r="A119" s="54" t="str">
        <x:v>ASM-0013</x:v>
      </x:c>
      <x:c r="B119" s="54" t="str">
        <x:v>PRT-0045</x:v>
      </x:c>
      <x:c r="C119" s="63" t="n">
        <x:v>1</x:v>
      </x:c>
      <x:c r="D119" s="54" t="b">
        <x:f>COUNTIF('Inventory'!$A$4:$A$431,A119)=1</x:f>
        <x:v>1</x:v>
      </x:c>
      <x:c r="E119" s="54" t="b">
        <x:f>COUNTIF('Inventory'!$A$4:$A$431,B119)=1</x:f>
        <x:v>1</x:v>
      </x:c>
      <x:c r="F119" s="54" t="b">
        <x:f>A119=B119</x:f>
        <x:v>0</x:v>
      </x:c>
      <x:c r="G119" s="54" t="str">
        <x:f>IF(AND(D119,E119,NOT(F119),C119&gt;0),"OK","CHECK")</x:f>
        <x:v>OK</x:v>
      </x:c>
    </x:row>
    <x:row r="120">
      <x:c r="A120" s="54" t="str">
        <x:v>ASM-0013</x:v>
      </x:c>
      <x:c r="B120" s="54" t="str">
        <x:v>PRT-0046</x:v>
      </x:c>
      <x:c r="C120" s="63" t="n">
        <x:v>1</x:v>
      </x:c>
      <x:c r="D120" s="54" t="b">
        <x:f>COUNTIF('Inventory'!$A$4:$A$431,A120)=1</x:f>
        <x:v>1</x:v>
      </x:c>
      <x:c r="E120" s="54" t="b">
        <x:f>COUNTIF('Inventory'!$A$4:$A$431,B120)=1</x:f>
        <x:v>1</x:v>
      </x:c>
      <x:c r="F120" s="54" t="b">
        <x:f>A120=B120</x:f>
        <x:v>0</x:v>
      </x:c>
      <x:c r="G120" s="54" t="str">
        <x:f>IF(AND(D120,E120,NOT(F120),C120&gt;0),"OK","CHECK")</x:f>
        <x:v>OK</x:v>
      </x:c>
    </x:row>
    <x:row r="121">
      <x:c r="A121" s="54" t="str">
        <x:v>ASM-0013</x:v>
      </x:c>
      <x:c r="B121" s="54" t="str">
        <x:v>PRT-0047</x:v>
      </x:c>
      <x:c r="C121" s="63" t="n">
        <x:v>1</x:v>
      </x:c>
      <x:c r="D121" s="54" t="b">
        <x:f>COUNTIF('Inventory'!$A$4:$A$431,A121)=1</x:f>
        <x:v>1</x:v>
      </x:c>
      <x:c r="E121" s="54" t="b">
        <x:f>COUNTIF('Inventory'!$A$4:$A$431,B121)=1</x:f>
        <x:v>1</x:v>
      </x:c>
      <x:c r="F121" s="54" t="b">
        <x:f>A121=B121</x:f>
        <x:v>0</x:v>
      </x:c>
      <x:c r="G121" s="54" t="str">
        <x:f>IF(AND(D121,E121,NOT(F121),C121&gt;0),"OK","CHECK")</x:f>
        <x:v>OK</x:v>
      </x:c>
    </x:row>
    <x:row r="122">
      <x:c r="A122" s="54" t="str">
        <x:v>ASM-0013</x:v>
      </x:c>
      <x:c r="B122" s="54" t="str">
        <x:v>PRT-0048</x:v>
      </x:c>
      <x:c r="C122" s="63" t="n">
        <x:v>2</x:v>
      </x:c>
      <x:c r="D122" s="54" t="b">
        <x:f>COUNTIF('Inventory'!$A$4:$A$431,A122)=1</x:f>
        <x:v>1</x:v>
      </x:c>
      <x:c r="E122" s="54" t="b">
        <x:f>COUNTIF('Inventory'!$A$4:$A$431,B122)=1</x:f>
        <x:v>1</x:v>
      </x:c>
      <x:c r="F122" s="54" t="b">
        <x:f>A122=B122</x:f>
        <x:v>0</x:v>
      </x:c>
      <x:c r="G122" s="54" t="str">
        <x:f>IF(AND(D122,E122,NOT(F122),C122&gt;0),"OK","CHECK")</x:f>
        <x:v>OK</x:v>
      </x:c>
    </x:row>
    <x:row r="123">
      <x:c r="A123" s="54" t="str">
        <x:v>KIT-0012</x:v>
      </x:c>
      <x:c r="B123" s="54" t="str">
        <x:v>ASM-0015</x:v>
      </x:c>
      <x:c r="C123" s="63" t="n">
        <x:v>1</x:v>
      </x:c>
      <x:c r="D123" s="54" t="b">
        <x:f>COUNTIF('Inventory'!$A$4:$A$431,A123)=1</x:f>
        <x:v>1</x:v>
      </x:c>
      <x:c r="E123" s="54" t="b">
        <x:f>COUNTIF('Inventory'!$A$4:$A$431,B123)=1</x:f>
        <x:v>1</x:v>
      </x:c>
      <x:c r="F123" s="54" t="b">
        <x:f>A123=B123</x:f>
        <x:v>0</x:v>
      </x:c>
      <x:c r="G123" s="54" t="str">
        <x:f>IF(AND(D123,E123,NOT(F123),C123&gt;0),"OK","CHECK")</x:f>
        <x:v>OK</x:v>
      </x:c>
    </x:row>
    <x:row r="124">
      <x:c r="A124" s="54" t="str">
        <x:v>KIT-0012</x:v>
      </x:c>
      <x:c r="B124" s="54" t="str">
        <x:v>PRT-0049</x:v>
      </x:c>
      <x:c r="C124" s="63" t="n">
        <x:v>30</x:v>
      </x:c>
      <x:c r="D124" s="54" t="b">
        <x:f>COUNTIF('Inventory'!$A$4:$A$431,A124)=1</x:f>
        <x:v>1</x:v>
      </x:c>
      <x:c r="E124" s="54" t="b">
        <x:f>COUNTIF('Inventory'!$A$4:$A$431,B124)=1</x:f>
        <x:v>1</x:v>
      </x:c>
      <x:c r="F124" s="54" t="b">
        <x:f>A124=B124</x:f>
        <x:v>0</x:v>
      </x:c>
      <x:c r="G124" s="54" t="str">
        <x:f>IF(AND(D124,E124,NOT(F124),C124&gt;0),"OK","CHECK")</x:f>
        <x:v>OK</x:v>
      </x:c>
    </x:row>
    <x:row r="125">
      <x:c r="A125" s="54" t="str">
        <x:v>KIT-0012</x:v>
      </x:c>
      <x:c r="B125" s="54" t="str">
        <x:v>PRT-0052</x:v>
      </x:c>
      <x:c r="C125" s="63" t="n">
        <x:v>4</x:v>
      </x:c>
      <x:c r="D125" s="54" t="b">
        <x:f>COUNTIF('Inventory'!$A$4:$A$431,A125)=1</x:f>
        <x:v>1</x:v>
      </x:c>
      <x:c r="E125" s="54" t="b">
        <x:f>COUNTIF('Inventory'!$A$4:$A$431,B125)=1</x:f>
        <x:v>1</x:v>
      </x:c>
      <x:c r="F125" s="54" t="b">
        <x:f>A125=B125</x:f>
        <x:v>0</x:v>
      </x:c>
      <x:c r="G125" s="54" t="str">
        <x:f>IF(AND(D125,E125,NOT(F125),C125&gt;0),"OK","CHECK")</x:f>
        <x:v>OK</x:v>
      </x:c>
    </x:row>
    <x:row r="126">
      <x:c r="A126" s="54" t="str">
        <x:v>KIT-0012</x:v>
      </x:c>
      <x:c r="B126" s="54" t="str">
        <x:v>ASM-0014</x:v>
      </x:c>
      <x:c r="C126" s="63" t="n">
        <x:v>4</x:v>
      </x:c>
      <x:c r="D126" s="54" t="b">
        <x:f>COUNTIF('Inventory'!$A$4:$A$431,A126)=1</x:f>
        <x:v>1</x:v>
      </x:c>
      <x:c r="E126" s="54" t="b">
        <x:f>COUNTIF('Inventory'!$A$4:$A$431,B126)=1</x:f>
        <x:v>1</x:v>
      </x:c>
      <x:c r="F126" s="54" t="b">
        <x:f>A126=B126</x:f>
        <x:v>0</x:v>
      </x:c>
      <x:c r="G126" s="54" t="str">
        <x:f>IF(AND(D126,E126,NOT(F126),C126&gt;0),"OK","CHECK")</x:f>
        <x:v>OK</x:v>
      </x:c>
    </x:row>
    <x:row r="127">
      <x:c r="A127" s="54" t="str">
        <x:v>KIT-0012</x:v>
      </x:c>
      <x:c r="B127" s="54" t="str">
        <x:v>MAT-0002</x:v>
      </x:c>
      <x:c r="C127" s="63" t="n">
        <x:v>40</x:v>
      </x:c>
      <x:c r="D127" s="54" t="b">
        <x:f>COUNTIF('Inventory'!$A$4:$A$431,A127)=1</x:f>
        <x:v>1</x:v>
      </x:c>
      <x:c r="E127" s="54" t="b">
        <x:f>COUNTIF('Inventory'!$A$4:$A$431,B127)=1</x:f>
        <x:v>1</x:v>
      </x:c>
      <x:c r="F127" s="54" t="b">
        <x:f>A127=B127</x:f>
        <x:v>0</x:v>
      </x:c>
      <x:c r="G127" s="54" t="str">
        <x:f>IF(AND(D127,E127,NOT(F127),C127&gt;0),"OK","CHECK")</x:f>
        <x:v>OK</x:v>
      </x:c>
    </x:row>
    <x:row r="128">
      <x:c r="A128" s="54" t="str">
        <x:v>KIT-0012</x:v>
      </x:c>
      <x:c r="B128" s="54" t="str">
        <x:v>PRT-0038</x:v>
      </x:c>
      <x:c r="C128" s="63" t="n">
        <x:v>1</x:v>
      </x:c>
      <x:c r="D128" s="54" t="b">
        <x:f>COUNTIF('Inventory'!$A$4:$A$431,A128)=1</x:f>
        <x:v>1</x:v>
      </x:c>
      <x:c r="E128" s="54" t="b">
        <x:f>COUNTIF('Inventory'!$A$4:$A$431,B128)=1</x:f>
        <x:v>1</x:v>
      </x:c>
      <x:c r="F128" s="54" t="b">
        <x:f>A128=B128</x:f>
        <x:v>0</x:v>
      </x:c>
      <x:c r="G128" s="54" t="str">
        <x:f>IF(AND(D128,E128,NOT(F128),C128&gt;0),"OK","CHECK")</x:f>
        <x:v>OK</x:v>
      </x:c>
    </x:row>
    <x:row r="129">
      <x:c r="A129" s="54" t="str">
        <x:v>KIT-0013</x:v>
      </x:c>
      <x:c r="B129" s="54" t="str">
        <x:v>ASM-0016</x:v>
      </x:c>
      <x:c r="C129" s="63" t="n">
        <x:v>1</x:v>
      </x:c>
      <x:c r="D129" s="54" t="b">
        <x:f>COUNTIF('Inventory'!$A$4:$A$431,A129)=1</x:f>
        <x:v>1</x:v>
      </x:c>
      <x:c r="E129" s="54" t="b">
        <x:f>COUNTIF('Inventory'!$A$4:$A$431,B129)=1</x:f>
        <x:v>1</x:v>
      </x:c>
      <x:c r="F129" s="54" t="b">
        <x:f>A129=B129</x:f>
        <x:v>0</x:v>
      </x:c>
      <x:c r="G129" s="54" t="str">
        <x:f>IF(AND(D129,E129,NOT(F129),C129&gt;0),"OK","CHECK")</x:f>
        <x:v>OK</x:v>
      </x:c>
    </x:row>
    <x:row r="130">
      <x:c r="A130" s="54" t="str">
        <x:v>KIT-0013</x:v>
      </x:c>
      <x:c r="B130" s="54" t="str">
        <x:v>PRT-0050</x:v>
      </x:c>
      <x:c r="C130" s="63" t="n">
        <x:v>30</x:v>
      </x:c>
      <x:c r="D130" s="54" t="b">
        <x:f>COUNTIF('Inventory'!$A$4:$A$431,A130)=1</x:f>
        <x:v>1</x:v>
      </x:c>
      <x:c r="E130" s="54" t="b">
        <x:f>COUNTIF('Inventory'!$A$4:$A$431,B130)=1</x:f>
        <x:v>1</x:v>
      </x:c>
      <x:c r="F130" s="54" t="b">
        <x:f>A130=B130</x:f>
        <x:v>0</x:v>
      </x:c>
      <x:c r="G130" s="54" t="str">
        <x:f>IF(AND(D130,E130,NOT(F130),C130&gt;0),"OK","CHECK")</x:f>
        <x:v>OK</x:v>
      </x:c>
    </x:row>
    <x:row r="131">
      <x:c r="A131" s="54" t="str">
        <x:v>KIT-0013</x:v>
      </x:c>
      <x:c r="B131" s="54" t="str">
        <x:v>ASM-0014</x:v>
      </x:c>
      <x:c r="C131" s="63" t="n">
        <x:v>4</x:v>
      </x:c>
      <x:c r="D131" s="54" t="b">
        <x:f>COUNTIF('Inventory'!$A$4:$A$431,A131)=1</x:f>
        <x:v>1</x:v>
      </x:c>
      <x:c r="E131" s="54" t="b">
        <x:f>COUNTIF('Inventory'!$A$4:$A$431,B131)=1</x:f>
        <x:v>1</x:v>
      </x:c>
      <x:c r="F131" s="54" t="b">
        <x:f>A131=B131</x:f>
        <x:v>0</x:v>
      </x:c>
      <x:c r="G131" s="54" t="str">
        <x:f>IF(AND(D131,E131,NOT(F131),C131&gt;0),"OK","CHECK")</x:f>
        <x:v>OK</x:v>
      </x:c>
    </x:row>
    <x:row r="132">
      <x:c r="A132" s="54" t="str">
        <x:v>KIT-0013</x:v>
      </x:c>
      <x:c r="B132" s="54" t="str">
        <x:v>MAT-0003</x:v>
      </x:c>
      <x:c r="C132" s="63" t="n">
        <x:v>40</x:v>
      </x:c>
      <x:c r="D132" s="54" t="b">
        <x:f>COUNTIF('Inventory'!$A$4:$A$431,A132)=1</x:f>
        <x:v>1</x:v>
      </x:c>
      <x:c r="E132" s="54" t="b">
        <x:f>COUNTIF('Inventory'!$A$4:$A$431,B132)=1</x:f>
        <x:v>1</x:v>
      </x:c>
      <x:c r="F132" s="54" t="b">
        <x:f>A132=B132</x:f>
        <x:v>0</x:v>
      </x:c>
      <x:c r="G132" s="54" t="str">
        <x:f>IF(AND(D132,E132,NOT(F132),C132&gt;0),"OK","CHECK")</x:f>
        <x:v>OK</x:v>
      </x:c>
    </x:row>
    <x:row r="133">
      <x:c r="A133" s="54" t="str">
        <x:v>KIT-0013</x:v>
      </x:c>
      <x:c r="B133" s="54" t="str">
        <x:v>PRT-0039</x:v>
      </x:c>
      <x:c r="C133" s="63" t="n">
        <x:v>1</x:v>
      </x:c>
      <x:c r="D133" s="54" t="b">
        <x:f>COUNTIF('Inventory'!$A$4:$A$431,A133)=1</x:f>
        <x:v>1</x:v>
      </x:c>
      <x:c r="E133" s="54" t="b">
        <x:f>COUNTIF('Inventory'!$A$4:$A$431,B133)=1</x:f>
        <x:v>1</x:v>
      </x:c>
      <x:c r="F133" s="54" t="b">
        <x:f>A133=B133</x:f>
        <x:v>0</x:v>
      </x:c>
      <x:c r="G133" s="54" t="str">
        <x:f>IF(AND(D133,E133,NOT(F133),C133&gt;0),"OK","CHECK")</x:f>
        <x:v>OK</x:v>
      </x:c>
    </x:row>
    <x:row r="134">
      <x:c r="A134" s="54" t="str">
        <x:v>KIT-0014</x:v>
      </x:c>
      <x:c r="B134" s="54" t="str">
        <x:v>PKG-0001</x:v>
      </x:c>
      <x:c r="C134" s="63" t="n">
        <x:v>1</x:v>
      </x:c>
      <x:c r="D134" s="54" t="b">
        <x:f>COUNTIF('Inventory'!$A$4:$A$431,A134)=1</x:f>
        <x:v>1</x:v>
      </x:c>
      <x:c r="E134" s="54" t="b">
        <x:f>COUNTIF('Inventory'!$A$4:$A$431,B134)=1</x:f>
        <x:v>1</x:v>
      </x:c>
      <x:c r="F134" s="54" t="b">
        <x:f>A134=B134</x:f>
        <x:v>0</x:v>
      </x:c>
      <x:c r="G134" s="54" t="str">
        <x:f>IF(AND(D134,E134,NOT(F134),C134&gt;0),"OK","CHECK")</x:f>
        <x:v>OK</x:v>
      </x:c>
    </x:row>
    <x:row r="135">
      <x:c r="A135" s="54" t="str">
        <x:v>KIT-0014</x:v>
      </x:c>
      <x:c r="B135" s="54" t="str">
        <x:v>PRT-0051</x:v>
      </x:c>
      <x:c r="C135" s="63" t="n">
        <x:v>100</x:v>
      </x:c>
      <x:c r="D135" s="54" t="b">
        <x:f>COUNTIF('Inventory'!$A$4:$A$431,A135)=1</x:f>
        <x:v>1</x:v>
      </x:c>
      <x:c r="E135" s="54" t="b">
        <x:f>COUNTIF('Inventory'!$A$4:$A$431,B135)=1</x:f>
        <x:v>1</x:v>
      </x:c>
      <x:c r="F135" s="54" t="b">
        <x:f>A135=B135</x:f>
        <x:v>0</x:v>
      </x:c>
      <x:c r="G135" s="54" t="str">
        <x:f>IF(AND(D135,E135,NOT(F135),C135&gt;0),"OK","CHECK")</x:f>
        <x:v>OK</x:v>
      </x:c>
    </x:row>
    <x:row r="136">
      <x:c r="A136" s="54" t="str">
        <x:v>OFT-0007</x:v>
      </x:c>
      <x:c r="B136" s="54" t="str">
        <x:v>ASM-0017</x:v>
      </x:c>
      <x:c r="C136" s="63" t="n">
        <x:v>80</x:v>
      </x:c>
      <x:c r="D136" s="54" t="b">
        <x:f>COUNTIF('Inventory'!$A$4:$A$431,A136)=1</x:f>
        <x:v>1</x:v>
      </x:c>
      <x:c r="E136" s="54" t="b">
        <x:f>COUNTIF('Inventory'!$A$4:$A$431,B136)=1</x:f>
        <x:v>1</x:v>
      </x:c>
      <x:c r="F136" s="54" t="b">
        <x:f>A136=B136</x:f>
        <x:v>0</x:v>
      </x:c>
      <x:c r="G136" s="54" t="str">
        <x:f>IF(AND(D136,E136,NOT(F136),C136&gt;0),"OK","CHECK")</x:f>
        <x:v>OK</x:v>
      </x:c>
    </x:row>
    <x:row r="137">
      <x:c r="A137" s="54" t="str">
        <x:v>OFT-0007</x:v>
      </x:c>
      <x:c r="B137" s="54" t="str">
        <x:v>KIT-0016</x:v>
      </x:c>
      <x:c r="C137" s="63" t="n">
        <x:v>2</x:v>
      </x:c>
      <x:c r="D137" s="54" t="b">
        <x:f>COUNTIF('Inventory'!$A$4:$A$431,A137)=1</x:f>
        <x:v>1</x:v>
      </x:c>
      <x:c r="E137" s="54" t="b">
        <x:f>COUNTIF('Inventory'!$A$4:$A$431,B137)=1</x:f>
        <x:v>1</x:v>
      </x:c>
      <x:c r="F137" s="54" t="b">
        <x:f>A137=B137</x:f>
        <x:v>0</x:v>
      </x:c>
      <x:c r="G137" s="54" t="str">
        <x:f>IF(AND(D137,E137,NOT(F137),C137&gt;0),"OK","CHECK")</x:f>
        <x:v>OK</x:v>
      </x:c>
    </x:row>
    <x:row r="138">
      <x:c r="A138" s="54" t="str">
        <x:v>OFT-0007</x:v>
      </x:c>
      <x:c r="B138" s="54" t="str">
        <x:v>ASM-0018</x:v>
      </x:c>
      <x:c r="C138" s="63" t="n">
        <x:v>4</x:v>
      </x:c>
      <x:c r="D138" s="54" t="b">
        <x:f>COUNTIF('Inventory'!$A$4:$A$431,A138)=1</x:f>
        <x:v>1</x:v>
      </x:c>
      <x:c r="E138" s="54" t="b">
        <x:f>COUNTIF('Inventory'!$A$4:$A$431,B138)=1</x:f>
        <x:v>1</x:v>
      </x:c>
      <x:c r="F138" s="54" t="b">
        <x:f>A138=B138</x:f>
        <x:v>0</x:v>
      </x:c>
      <x:c r="G138" s="54" t="str">
        <x:f>IF(AND(D138,E138,NOT(F138),C138&gt;0),"OK","CHECK")</x:f>
        <x:v>OK</x:v>
      </x:c>
    </x:row>
    <x:row r="139">
      <x:c r="A139" s="54" t="str">
        <x:v>OFT-0007</x:v>
      </x:c>
      <x:c r="B139" s="54" t="str">
        <x:v>PKG-0003</x:v>
      </x:c>
      <x:c r="C139" s="63" t="n">
        <x:v>12</x:v>
      </x:c>
      <x:c r="D139" s="54" t="b">
        <x:f>COUNTIF('Inventory'!$A$4:$A$431,A139)=1</x:f>
        <x:v>1</x:v>
      </x:c>
      <x:c r="E139" s="54" t="b">
        <x:f>COUNTIF('Inventory'!$A$4:$A$431,B139)=1</x:f>
        <x:v>1</x:v>
      </x:c>
      <x:c r="F139" s="54" t="b">
        <x:f>A139=B139</x:f>
        <x:v>0</x:v>
      </x:c>
      <x:c r="G139" s="54" t="str">
        <x:f>IF(AND(D139,E139,NOT(F139),C139&gt;0),"OK","CHECK")</x:f>
        <x:v>OK</x:v>
      </x:c>
    </x:row>
    <x:row r="140">
      <x:c r="A140" s="54" t="str">
        <x:v>OFT-0007</x:v>
      </x:c>
      <x:c r="B140" s="54" t="str">
        <x:v>MAT-0005</x:v>
      </x:c>
      <x:c r="C140" s="63" t="n">
        <x:v>800</x:v>
      </x:c>
      <x:c r="D140" s="54" t="b">
        <x:f>COUNTIF('Inventory'!$A$4:$A$431,A140)=1</x:f>
        <x:v>1</x:v>
      </x:c>
      <x:c r="E140" s="54" t="b">
        <x:f>COUNTIF('Inventory'!$A$4:$A$431,B140)=1</x:f>
        <x:v>1</x:v>
      </x:c>
      <x:c r="F140" s="54" t="b">
        <x:f>A140=B140</x:f>
        <x:v>0</x:v>
      </x:c>
      <x:c r="G140" s="54" t="str">
        <x:f>IF(AND(D140,E140,NOT(F140),C140&gt;0),"OK","CHECK")</x:f>
        <x:v>OK</x:v>
      </x:c>
    </x:row>
    <x:row r="141">
      <x:c r="A141" s="54" t="str">
        <x:v>OFT-0007</x:v>
      </x:c>
      <x:c r="B141" s="54" t="str">
        <x:v>MAT-0006</x:v>
      </x:c>
      <x:c r="C141" s="63" t="n">
        <x:v>800</x:v>
      </x:c>
      <x:c r="D141" s="54" t="b">
        <x:f>COUNTIF('Inventory'!$A$4:$A$431,A141)=1</x:f>
        <x:v>1</x:v>
      </x:c>
      <x:c r="E141" s="54" t="b">
        <x:f>COUNTIF('Inventory'!$A$4:$A$431,B141)=1</x:f>
        <x:v>1</x:v>
      </x:c>
      <x:c r="F141" s="54" t="b">
        <x:f>A141=B141</x:f>
        <x:v>0</x:v>
      </x:c>
      <x:c r="G141" s="54" t="str">
        <x:f>IF(AND(D141,E141,NOT(F141),C141&gt;0),"OK","CHECK")</x:f>
        <x:v>OK</x:v>
      </x:c>
    </x:row>
    <x:row r="142">
      <x:c r="A142" s="54" t="str">
        <x:v>OFT-0007</x:v>
      </x:c>
      <x:c r="B142" s="54" t="str">
        <x:v>LBL-0004</x:v>
      </x:c>
      <x:c r="C142" s="63" t="n">
        <x:v>6</x:v>
      </x:c>
      <x:c r="D142" s="54" t="b">
        <x:f>COUNTIF('Inventory'!$A$4:$A$431,A142)=1</x:f>
        <x:v>1</x:v>
      </x:c>
      <x:c r="E142" s="54" t="b">
        <x:f>COUNTIF('Inventory'!$A$4:$A$431,B142)=1</x:f>
        <x:v>1</x:v>
      </x:c>
      <x:c r="F142" s="54" t="b">
        <x:f>A142=B142</x:f>
        <x:v>0</x:v>
      </x:c>
      <x:c r="G142" s="54" t="str">
        <x:f>IF(AND(D142,E142,NOT(F142),C142&gt;0),"OK","CHECK")</x:f>
        <x:v>OK</x:v>
      </x:c>
    </x:row>
    <x:row r="143">
      <x:c r="A143" s="54" t="str">
        <x:v>ASM-0017</x:v>
      </x:c>
      <x:c r="B143" s="54" t="str">
        <x:v>PKG-0002</x:v>
      </x:c>
      <x:c r="C143" s="63" t="n">
        <x:v>1</x:v>
      </x:c>
      <x:c r="D143" s="54" t="b">
        <x:f>COUNTIF('Inventory'!$A$4:$A$431,A143)=1</x:f>
        <x:v>1</x:v>
      </x:c>
      <x:c r="E143" s="54" t="b">
        <x:f>COUNTIF('Inventory'!$A$4:$A$431,B143)=1</x:f>
        <x:v>1</x:v>
      </x:c>
      <x:c r="F143" s="54" t="b">
        <x:f>A143=B143</x:f>
        <x:v>0</x:v>
      </x:c>
      <x:c r="G143" s="54" t="str">
        <x:f>IF(AND(D143,E143,NOT(F143),C143&gt;0),"OK","CHECK")</x:f>
        <x:v>OK</x:v>
      </x:c>
    </x:row>
    <x:row r="144">
      <x:c r="A144" s="54" t="str">
        <x:v>ASM-0017</x:v>
      </x:c>
      <x:c r="B144" s="54" t="str">
        <x:v>MAT-0004</x:v>
      </x:c>
      <x:c r="C144" s="63" t="n">
        <x:v>25</x:v>
      </x:c>
      <x:c r="D144" s="54" t="b">
        <x:f>COUNTIF('Inventory'!$A$4:$A$431,A144)=1</x:f>
        <x:v>1</x:v>
      </x:c>
      <x:c r="E144" s="54" t="b">
        <x:f>COUNTIF('Inventory'!$A$4:$A$431,B144)=1</x:f>
        <x:v>1</x:v>
      </x:c>
      <x:c r="F144" s="54" t="b">
        <x:f>A144=B144</x:f>
        <x:v>0</x:v>
      </x:c>
      <x:c r="G144" s="54" t="str">
        <x:f>IF(AND(D144,E144,NOT(F144),C144&gt;0),"OK","CHECK")</x:f>
        <x:v>OK</x:v>
      </x:c>
    </x:row>
    <x:row r="145">
      <x:c r="A145" s="54" t="str">
        <x:v>ASM-0017</x:v>
      </x:c>
      <x:c r="B145" s="54" t="str">
        <x:v>LBL-0004</x:v>
      </x:c>
      <x:c r="C145" s="63" t="n">
        <x:v>1</x:v>
      </x:c>
      <x:c r="D145" s="54" t="b">
        <x:f>COUNTIF('Inventory'!$A$4:$A$431,A145)=1</x:f>
        <x:v>1</x:v>
      </x:c>
      <x:c r="E145" s="54" t="b">
        <x:f>COUNTIF('Inventory'!$A$4:$A$431,B145)=1</x:f>
        <x:v>1</x:v>
      </x:c>
      <x:c r="F145" s="54" t="b">
        <x:f>A145=B145</x:f>
        <x:v>0</x:v>
      </x:c>
      <x:c r="G145" s="54" t="str">
        <x:f>IF(AND(D145,E145,NOT(F145),C145&gt;0),"OK","CHECK")</x:f>
        <x:v>OK</x:v>
      </x:c>
    </x:row>
    <x:row r="146">
      <x:c r="A146" s="54" t="str">
        <x:v>KIT-0016</x:v>
      </x:c>
      <x:c r="B146" s="54" t="str">
        <x:v>PRT-0053</x:v>
      </x:c>
      <x:c r="C146" s="63" t="n">
        <x:v>1</x:v>
      </x:c>
      <x:c r="D146" s="54" t="b">
        <x:f>COUNTIF('Inventory'!$A$4:$A$431,A146)=1</x:f>
        <x:v>1</x:v>
      </x:c>
      <x:c r="E146" s="54" t="b">
        <x:f>COUNTIF('Inventory'!$A$4:$A$431,B146)=1</x:f>
        <x:v>1</x:v>
      </x:c>
      <x:c r="F146" s="54" t="b">
        <x:f>A146=B146</x:f>
        <x:v>0</x:v>
      </x:c>
      <x:c r="G146" s="54" t="str">
        <x:f>IF(AND(D146,E146,NOT(F146),C146&gt;0),"OK","CHECK")</x:f>
        <x:v>OK</x:v>
      </x:c>
    </x:row>
    <x:row r="147">
      <x:c r="A147" s="54" t="str">
        <x:v>KIT-0016</x:v>
      </x:c>
      <x:c r="B147" s="54" t="str">
        <x:v>KIT-0017</x:v>
      </x:c>
      <x:c r="C147" s="63" t="n">
        <x:v>1</x:v>
      </x:c>
      <x:c r="D147" s="54" t="b">
        <x:f>COUNTIF('Inventory'!$A$4:$A$431,A147)=1</x:f>
        <x:v>1</x:v>
      </x:c>
      <x:c r="E147" s="54" t="b">
        <x:f>COUNTIF('Inventory'!$A$4:$A$431,B147)=1</x:f>
        <x:v>1</x:v>
      </x:c>
      <x:c r="F147" s="54" t="b">
        <x:f>A147=B147</x:f>
        <x:v>0</x:v>
      </x:c>
      <x:c r="G147" s="54" t="str">
        <x:f>IF(AND(D147,E147,NOT(F147),C147&gt;0),"OK","CHECK")</x:f>
        <x:v>OK</x:v>
      </x:c>
    </x:row>
    <x:row r="148">
      <x:c r="A148" s="54" t="str">
        <x:v>KIT-0016</x:v>
      </x:c>
      <x:c r="B148" s="54" t="str">
        <x:v>PRT-0054</x:v>
      </x:c>
      <x:c r="C148" s="63" t="n">
        <x:v>2</x:v>
      </x:c>
      <x:c r="D148" s="54" t="b">
        <x:f>COUNTIF('Inventory'!$A$4:$A$431,A148)=1</x:f>
        <x:v>1</x:v>
      </x:c>
      <x:c r="E148" s="54" t="b">
        <x:f>COUNTIF('Inventory'!$A$4:$A$431,B148)=1</x:f>
        <x:v>1</x:v>
      </x:c>
      <x:c r="F148" s="54" t="b">
        <x:f>A148=B148</x:f>
        <x:v>0</x:v>
      </x:c>
      <x:c r="G148" s="54" t="str">
        <x:f>IF(AND(D148,E148,NOT(F148),C148&gt;0),"OK","CHECK")</x:f>
        <x:v>OK</x:v>
      </x:c>
    </x:row>
    <x:row r="149">
      <x:c r="A149" s="54" t="str">
        <x:v>KIT-0016</x:v>
      </x:c>
      <x:c r="B149" s="54" t="str">
        <x:v>PRT-0055</x:v>
      </x:c>
      <x:c r="C149" s="63" t="n">
        <x:v>2</x:v>
      </x:c>
      <x:c r="D149" s="54" t="b">
        <x:f>COUNTIF('Inventory'!$A$4:$A$431,A149)=1</x:f>
        <x:v>1</x:v>
      </x:c>
      <x:c r="E149" s="54" t="b">
        <x:f>COUNTIF('Inventory'!$A$4:$A$431,B149)=1</x:f>
        <x:v>1</x:v>
      </x:c>
      <x:c r="F149" s="54" t="b">
        <x:f>A149=B149</x:f>
        <x:v>0</x:v>
      </x:c>
      <x:c r="G149" s="54" t="str">
        <x:f>IF(AND(D149,E149,NOT(F149),C149&gt;0),"OK","CHECK")</x:f>
        <x:v>OK</x:v>
      </x:c>
    </x:row>
    <x:row r="150">
      <x:c r="A150" s="54" t="str">
        <x:v>OFT-0008</x:v>
      </x:c>
      <x:c r="B150" s="54" t="str">
        <x:v>KIT-0018</x:v>
      </x:c>
      <x:c r="C150" s="63" t="n">
        <x:v>150</x:v>
      </x:c>
      <x:c r="D150" s="54" t="b">
        <x:f>COUNTIF('Inventory'!$A$4:$A$431,A150)=1</x:f>
        <x:v>1</x:v>
      </x:c>
      <x:c r="E150" s="54" t="b">
        <x:f>COUNTIF('Inventory'!$A$4:$A$431,B150)=1</x:f>
        <x:v>1</x:v>
      </x:c>
      <x:c r="F150" s="54" t="b">
        <x:f>A150=B150</x:f>
        <x:v>0</x:v>
      </x:c>
      <x:c r="G150" s="54" t="str">
        <x:f>IF(AND(D150,E150,NOT(F150),C150&gt;0),"OK","CHECK")</x:f>
        <x:v>OK</x:v>
      </x:c>
    </x:row>
    <x:row r="151">
      <x:c r="A151" s="54" t="str">
        <x:v>OFT-0008</x:v>
      </x:c>
      <x:c r="B151" s="54" t="str">
        <x:v>KIT-0019</x:v>
      </x:c>
      <x:c r="C151" s="63" t="n">
        <x:v>75</x:v>
      </x:c>
      <x:c r="D151" s="54" t="b">
        <x:f>COUNTIF('Inventory'!$A$4:$A$431,A151)=1</x:f>
        <x:v>1</x:v>
      </x:c>
      <x:c r="E151" s="54" t="b">
        <x:f>COUNTIF('Inventory'!$A$4:$A$431,B151)=1</x:f>
        <x:v>1</x:v>
      </x:c>
      <x:c r="F151" s="54" t="b">
        <x:f>A151=B151</x:f>
        <x:v>0</x:v>
      </x:c>
      <x:c r="G151" s="54" t="str">
        <x:f>IF(AND(D151,E151,NOT(F151),C151&gt;0),"OK","CHECK")</x:f>
        <x:v>OK</x:v>
      </x:c>
    </x:row>
    <x:row r="152">
      <x:c r="A152" s="54" t="str">
        <x:v>OFT-0008</x:v>
      </x:c>
      <x:c r="B152" s="54" t="str">
        <x:v>PRT-0056</x:v>
      </x:c>
      <x:c r="C152" s="63" t="n">
        <x:v>150</x:v>
      </x:c>
      <x:c r="D152" s="54" t="b">
        <x:f>COUNTIF('Inventory'!$A$4:$A$431,A152)=1</x:f>
        <x:v>1</x:v>
      </x:c>
      <x:c r="E152" s="54" t="b">
        <x:f>COUNTIF('Inventory'!$A$4:$A$431,B152)=1</x:f>
        <x:v>1</x:v>
      </x:c>
      <x:c r="F152" s="54" t="b">
        <x:f>A152=B152</x:f>
        <x:v>0</x:v>
      </x:c>
      <x:c r="G152" s="54" t="str">
        <x:f>IF(AND(D152,E152,NOT(F152),C152&gt;0),"OK","CHECK")</x:f>
        <x:v>OK</x:v>
      </x:c>
    </x:row>
    <x:row r="153">
      <x:c r="A153" s="54" t="str">
        <x:v>OFT-0008</x:v>
      </x:c>
      <x:c r="B153" s="54" t="str">
        <x:v>PRT-0057</x:v>
      </x:c>
      <x:c r="C153" s="63" t="n">
        <x:v>100</x:v>
      </x:c>
      <x:c r="D153" s="54" t="b">
        <x:f>COUNTIF('Inventory'!$A$4:$A$431,A153)=1</x:f>
        <x:v>1</x:v>
      </x:c>
      <x:c r="E153" s="54" t="b">
        <x:f>COUNTIF('Inventory'!$A$4:$A$431,B153)=1</x:f>
        <x:v>1</x:v>
      </x:c>
      <x:c r="F153" s="54" t="b">
        <x:f>A153=B153</x:f>
        <x:v>0</x:v>
      </x:c>
      <x:c r="G153" s="54" t="str">
        <x:f>IF(AND(D153,E153,NOT(F153),C153&gt;0),"OK","CHECK")</x:f>
        <x:v>OK</x:v>
      </x:c>
    </x:row>
    <x:row r="154">
      <x:c r="A154" s="54" t="str">
        <x:v>OFT-0008</x:v>
      </x:c>
      <x:c r="B154" s="54" t="str">
        <x:v>PRT-0058</x:v>
      </x:c>
      <x:c r="C154" s="63" t="n">
        <x:v>60</x:v>
      </x:c>
      <x:c r="D154" s="54" t="b">
        <x:f>COUNTIF('Inventory'!$A$4:$A$431,A154)=1</x:f>
        <x:v>1</x:v>
      </x:c>
      <x:c r="E154" s="54" t="b">
        <x:f>COUNTIF('Inventory'!$A$4:$A$431,B154)=1</x:f>
        <x:v>1</x:v>
      </x:c>
      <x:c r="F154" s="54" t="b">
        <x:f>A154=B154</x:f>
        <x:v>0</x:v>
      </x:c>
      <x:c r="G154" s="54" t="str">
        <x:f>IF(AND(D154,E154,NOT(F154),C154&gt;0),"OK","CHECK")</x:f>
        <x:v>OK</x:v>
      </x:c>
    </x:row>
    <x:row r="155">
      <x:c r="A155" s="54" t="str">
        <x:v>OFT-0008</x:v>
      </x:c>
      <x:c r="B155" s="54" t="str">
        <x:v>ASM-0019</x:v>
      </x:c>
      <x:c r="C155" s="63" t="n">
        <x:v>24</x:v>
      </x:c>
      <x:c r="D155" s="54" t="b">
        <x:f>COUNTIF('Inventory'!$A$4:$A$431,A155)=1</x:f>
        <x:v>1</x:v>
      </x:c>
      <x:c r="E155" s="54" t="b">
        <x:f>COUNTIF('Inventory'!$A$4:$A$431,B155)=1</x:f>
        <x:v>1</x:v>
      </x:c>
      <x:c r="F155" s="54" t="b">
        <x:f>A155=B155</x:f>
        <x:v>0</x:v>
      </x:c>
      <x:c r="G155" s="54" t="str">
        <x:f>IF(AND(D155,E155,NOT(F155),C155&gt;0),"OK","CHECK")</x:f>
        <x:v>OK</x:v>
      </x:c>
    </x:row>
    <x:row r="156">
      <x:c r="A156" s="54" t="str">
        <x:v>OFT-0008</x:v>
      </x:c>
      <x:c r="B156" s="54" t="str">
        <x:v>PRT-0062</x:v>
      </x:c>
      <x:c r="C156" s="63" t="n">
        <x:v>8</x:v>
      </x:c>
      <x:c r="D156" s="54" t="b">
        <x:f>COUNTIF('Inventory'!$A$4:$A$431,A156)=1</x:f>
        <x:v>1</x:v>
      </x:c>
      <x:c r="E156" s="54" t="b">
        <x:f>COUNTIF('Inventory'!$A$4:$A$431,B156)=1</x:f>
        <x:v>1</x:v>
      </x:c>
      <x:c r="F156" s="54" t="b">
        <x:f>A156=B156</x:f>
        <x:v>0</x:v>
      </x:c>
      <x:c r="G156" s="54" t="str">
        <x:f>IF(AND(D156,E156,NOT(F156),C156&gt;0),"OK","CHECK")</x:f>
        <x:v>OK</x:v>
      </x:c>
    </x:row>
    <x:row r="157">
      <x:c r="A157" s="54" t="str">
        <x:v>KIT-0018</x:v>
      </x:c>
      <x:c r="B157" s="54" t="str">
        <x:v>PRT-0059</x:v>
      </x:c>
      <x:c r="C157" s="63" t="n">
        <x:v>1</x:v>
      </x:c>
      <x:c r="D157" s="54" t="b">
        <x:f>COUNTIF('Inventory'!$A$4:$A$431,A157)=1</x:f>
        <x:v>1</x:v>
      </x:c>
      <x:c r="E157" s="54" t="b">
        <x:f>COUNTIF('Inventory'!$A$4:$A$431,B157)=1</x:f>
        <x:v>1</x:v>
      </x:c>
      <x:c r="F157" s="54" t="b">
        <x:f>A157=B157</x:f>
        <x:v>0</x:v>
      </x:c>
      <x:c r="G157" s="54" t="str">
        <x:f>IF(AND(D157,E157,NOT(F157),C157&gt;0),"OK","CHECK")</x:f>
        <x:v>OK</x:v>
      </x:c>
    </x:row>
    <x:row r="158">
      <x:c r="A158" s="54" t="str">
        <x:v>KIT-0018</x:v>
      </x:c>
      <x:c r="B158" s="54" t="str">
        <x:v>PKG-0004</x:v>
      </x:c>
      <x:c r="C158" s="63" t="n">
        <x:v>1</x:v>
      </x:c>
      <x:c r="D158" s="54" t="b">
        <x:f>COUNTIF('Inventory'!$A$4:$A$431,A158)=1</x:f>
        <x:v>1</x:v>
      </x:c>
      <x:c r="E158" s="54" t="b">
        <x:f>COUNTIF('Inventory'!$A$4:$A$431,B158)=1</x:f>
        <x:v>1</x:v>
      </x:c>
      <x:c r="F158" s="54" t="b">
        <x:f>A158=B158</x:f>
        <x:v>0</x:v>
      </x:c>
      <x:c r="G158" s="54" t="str">
        <x:f>IF(AND(D158,E158,NOT(F158),C158&gt;0),"OK","CHECK")</x:f>
        <x:v>OK</x:v>
      </x:c>
    </x:row>
    <x:row r="159">
      <x:c r="A159" s="54" t="str">
        <x:v>KIT-0018</x:v>
      </x:c>
      <x:c r="B159" s="54" t="str">
        <x:v>MAT-0007</x:v>
      </x:c>
      <x:c r="C159" s="63" t="n">
        <x:v>6</x:v>
      </x:c>
      <x:c r="D159" s="54" t="b">
        <x:f>COUNTIF('Inventory'!$A$4:$A$431,A159)=1</x:f>
        <x:v>1</x:v>
      </x:c>
      <x:c r="E159" s="54" t="b">
        <x:f>COUNTIF('Inventory'!$A$4:$A$431,B159)=1</x:f>
        <x:v>1</x:v>
      </x:c>
      <x:c r="F159" s="54" t="b">
        <x:f>A159=B159</x:f>
        <x:v>0</x:v>
      </x:c>
      <x:c r="G159" s="54" t="str">
        <x:f>IF(AND(D159,E159,NOT(F159),C159&gt;0),"OK","CHECK")</x:f>
        <x:v>OK</x:v>
      </x:c>
    </x:row>
    <x:row r="160">
      <x:c r="A160" s="54" t="str">
        <x:v>KIT-0018</x:v>
      </x:c>
      <x:c r="B160" s="54" t="str">
        <x:v>MAT-0008</x:v>
      </x:c>
      <x:c r="C160" s="63" t="n">
        <x:v>24</x:v>
      </x:c>
      <x:c r="D160" s="54" t="b">
        <x:f>COUNTIF('Inventory'!$A$4:$A$431,A160)=1</x:f>
        <x:v>1</x:v>
      </x:c>
      <x:c r="E160" s="54" t="b">
        <x:f>COUNTIF('Inventory'!$A$4:$A$431,B160)=1</x:f>
        <x:v>1</x:v>
      </x:c>
      <x:c r="F160" s="54" t="b">
        <x:f>A160=B160</x:f>
        <x:v>0</x:v>
      </x:c>
      <x:c r="G160" s="54" t="str">
        <x:f>IF(AND(D160,E160,NOT(F160),C160&gt;0),"OK","CHECK")</x:f>
        <x:v>OK</x:v>
      </x:c>
    </x:row>
    <x:row r="161">
      <x:c r="A161" s="54" t="str">
        <x:v>KIT-0018</x:v>
      </x:c>
      <x:c r="B161" s="54" t="str">
        <x:v>PRT-0061</x:v>
      </x:c>
      <x:c r="C161" s="63" t="n">
        <x:v>1</x:v>
      </x:c>
      <x:c r="D161" s="54" t="b">
        <x:f>COUNTIF('Inventory'!$A$4:$A$431,A161)=1</x:f>
        <x:v>1</x:v>
      </x:c>
      <x:c r="E161" s="54" t="b">
        <x:f>COUNTIF('Inventory'!$A$4:$A$431,B161)=1</x:f>
        <x:v>1</x:v>
      </x:c>
      <x:c r="F161" s="54" t="b">
        <x:f>A161=B161</x:f>
        <x:v>0</x:v>
      </x:c>
      <x:c r="G161" s="54" t="str">
        <x:f>IF(AND(D161,E161,NOT(F161),C161&gt;0),"OK","CHECK")</x:f>
        <x:v>OK</x:v>
      </x:c>
    </x:row>
    <x:row r="162">
      <x:c r="A162" s="54" t="str">
        <x:v>KIT-0019</x:v>
      </x:c>
      <x:c r="B162" s="54" t="str">
        <x:v>PRT-0060</x:v>
      </x:c>
      <x:c r="C162" s="63" t="n">
        <x:v>2</x:v>
      </x:c>
      <x:c r="D162" s="54" t="b">
        <x:f>COUNTIF('Inventory'!$A$4:$A$431,A162)=1</x:f>
        <x:v>1</x:v>
      </x:c>
      <x:c r="E162" s="54" t="b">
        <x:f>COUNTIF('Inventory'!$A$4:$A$431,B162)=1</x:f>
        <x:v>1</x:v>
      </x:c>
      <x:c r="F162" s="54" t="b">
        <x:f>A162=B162</x:f>
        <x:v>0</x:v>
      </x:c>
      <x:c r="G162" s="54" t="str">
        <x:f>IF(AND(D162,E162,NOT(F162),C162&gt;0),"OK","CHECK")</x:f>
        <x:v>OK</x:v>
      </x:c>
    </x:row>
    <x:row r="163">
      <x:c r="A163" s="54" t="str">
        <x:v>KIT-0019</x:v>
      </x:c>
      <x:c r="B163" s="54" t="str">
        <x:v>MAT-0007</x:v>
      </x:c>
      <x:c r="C163" s="63" t="n">
        <x:v>4</x:v>
      </x:c>
      <x:c r="D163" s="54" t="b">
        <x:f>COUNTIF('Inventory'!$A$4:$A$431,A163)=1</x:f>
        <x:v>1</x:v>
      </x:c>
      <x:c r="E163" s="54" t="b">
        <x:f>COUNTIF('Inventory'!$A$4:$A$431,B163)=1</x:f>
        <x:v>1</x:v>
      </x:c>
      <x:c r="F163" s="54" t="b">
        <x:f>A163=B163</x:f>
        <x:v>0</x:v>
      </x:c>
      <x:c r="G163" s="54" t="str">
        <x:f>IF(AND(D163,E163,NOT(F163),C163&gt;0),"OK","CHECK")</x:f>
        <x:v>OK</x:v>
      </x:c>
    </x:row>
    <x:row r="164">
      <x:c r="A164" s="54" t="str">
        <x:v>KIT-0019</x:v>
      </x:c>
      <x:c r="B164" s="54" t="str">
        <x:v>MAT-0009</x:v>
      </x:c>
      <x:c r="C164" s="63" t="n">
        <x:v>24</x:v>
      </x:c>
      <x:c r="D164" s="54" t="b">
        <x:f>COUNTIF('Inventory'!$A$4:$A$431,A164)=1</x:f>
        <x:v>1</x:v>
      </x:c>
      <x:c r="E164" s="54" t="b">
        <x:f>COUNTIF('Inventory'!$A$4:$A$431,B164)=1</x:f>
        <x:v>1</x:v>
      </x:c>
      <x:c r="F164" s="54" t="b">
        <x:f>A164=B164</x:f>
        <x:v>0</x:v>
      </x:c>
      <x:c r="G164" s="54" t="str">
        <x:f>IF(AND(D164,E164,NOT(F164),C164&gt;0),"OK","CHECK")</x:f>
        <x:v>OK</x:v>
      </x:c>
    </x:row>
    <x:row r="165">
      <x:c r="A165" s="54" t="str">
        <x:v>KIT-0019</x:v>
      </x:c>
      <x:c r="B165" s="54" t="str">
        <x:v>PRT-0061</x:v>
      </x:c>
      <x:c r="C165" s="63" t="n">
        <x:v>1</x:v>
      </x:c>
      <x:c r="D165" s="54" t="b">
        <x:f>COUNTIF('Inventory'!$A$4:$A$431,A165)=1</x:f>
        <x:v>1</x:v>
      </x:c>
      <x:c r="E165" s="54" t="b">
        <x:f>COUNTIF('Inventory'!$A$4:$A$431,B165)=1</x:f>
        <x:v>1</x:v>
      </x:c>
      <x:c r="F165" s="54" t="b">
        <x:f>A165=B165</x:f>
        <x:v>0</x:v>
      </x:c>
      <x:c r="G165" s="54" t="str">
        <x:f>IF(AND(D165,E165,NOT(F165),C165&gt;0),"OK","CHECK")</x:f>
        <x:v>OK</x:v>
      </x:c>
    </x:row>
    <x:row r="166">
      <x:c r="A166" s="54" t="str">
        <x:v>KIT-0004</x:v>
      </x:c>
      <x:c r="B166" s="54" t="str">
        <x:v>PRT-0029</x:v>
      </x:c>
      <x:c r="C166" s="63" t="n">
        <x:v>80</x:v>
      </x:c>
      <x:c r="D166" s="54" t="b">
        <x:f>COUNTIF('Inventory'!$A$4:$A$431,A166)=1</x:f>
        <x:v>1</x:v>
      </x:c>
      <x:c r="E166" s="54" t="b">
        <x:f>COUNTIF('Inventory'!$A$4:$A$431,B166)=1</x:f>
        <x:v>1</x:v>
      </x:c>
      <x:c r="F166" s="54" t="b">
        <x:f>A166=B166</x:f>
        <x:v>0</x:v>
      </x:c>
      <x:c r="G166" s="54" t="str">
        <x:f>IF(AND(D166,E166,NOT(F166),C166&gt;0),"OK","CHECK")</x:f>
        <x:v>OK</x:v>
      </x:c>
    </x:row>
    <x:row r="167">
      <x:c r="A167" s="54" t="str">
        <x:v>KIT-0004</x:v>
      </x:c>
      <x:c r="B167" s="54" t="str">
        <x:v>ASM-0011</x:v>
      </x:c>
      <x:c r="C167" s="63" t="n">
        <x:v>12</x:v>
      </x:c>
      <x:c r="D167" s="54" t="b">
        <x:f>COUNTIF('Inventory'!$A$4:$A$431,A167)=1</x:f>
        <x:v>1</x:v>
      </x:c>
      <x:c r="E167" s="54" t="b">
        <x:f>COUNTIF('Inventory'!$A$4:$A$431,B167)=1</x:f>
        <x:v>1</x:v>
      </x:c>
      <x:c r="F167" s="54" t="b">
        <x:f>A167=B167</x:f>
        <x:v>0</x:v>
      </x:c>
      <x:c r="G167" s="54" t="str">
        <x:f>IF(AND(D167,E167,NOT(F167),C167&gt;0),"OK","CHECK")</x:f>
        <x:v>OK</x:v>
      </x:c>
    </x:row>
    <x:row r="168">
      <x:c r="A168" s="54" t="str">
        <x:v>KIT-0004</x:v>
      </x:c>
      <x:c r="B168" s="54" t="str">
        <x:v>PRT-0038</x:v>
      </x:c>
      <x:c r="C168" s="63" t="n">
        <x:v>8</x:v>
      </x:c>
      <x:c r="D168" s="54" t="b">
        <x:f>COUNTIF('Inventory'!$A$4:$A$431,A168)=1</x:f>
        <x:v>1</x:v>
      </x:c>
      <x:c r="E168" s="54" t="b">
        <x:f>COUNTIF('Inventory'!$A$4:$A$431,B168)=1</x:f>
        <x:v>1</x:v>
      </x:c>
      <x:c r="F168" s="54" t="b">
        <x:f>A168=B168</x:f>
        <x:v>0</x:v>
      </x:c>
      <x:c r="G168" s="54" t="str">
        <x:f>IF(AND(D168,E168,NOT(F168),C168&gt;0),"OK","CHECK")</x:f>
        <x:v>OK</x:v>
      </x:c>
    </x:row>
    <x:row r="169">
      <x:c r="A169" s="54" t="str">
        <x:v>KIT-0004</x:v>
      </x:c>
      <x:c r="B169" s="54" t="str">
        <x:v>PRT-0039</x:v>
      </x:c>
      <x:c r="C169" s="63" t="n">
        <x:v>8</x:v>
      </x:c>
      <x:c r="D169" s="54" t="b">
        <x:f>COUNTIF('Inventory'!$A$4:$A$431,A169)=1</x:f>
        <x:v>1</x:v>
      </x:c>
      <x:c r="E169" s="54" t="b">
        <x:f>COUNTIF('Inventory'!$A$4:$A$431,B169)=1</x:f>
        <x:v>1</x:v>
      </x:c>
      <x:c r="F169" s="54" t="b">
        <x:f>A169=B169</x:f>
        <x:v>0</x:v>
      </x:c>
      <x:c r="G169" s="54" t="str">
        <x:f>IF(AND(D169,E169,NOT(F169),C169&gt;0),"OK","CHECK")</x:f>
        <x:v>OK</x:v>
      </x:c>
    </x:row>
    <x:row r="170">
      <x:c r="A170" s="54" t="str">
        <x:v>KIT-0004</x:v>
      </x:c>
      <x:c r="B170" s="54" t="str">
        <x:v>PRT-0037</x:v>
      </x:c>
      <x:c r="C170" s="63" t="n">
        <x:v>12</x:v>
      </x:c>
      <x:c r="D170" s="54" t="b">
        <x:f>COUNTIF('Inventory'!$A$4:$A$431,A170)=1</x:f>
        <x:v>1</x:v>
      </x:c>
      <x:c r="E170" s="54" t="b">
        <x:f>COUNTIF('Inventory'!$A$4:$A$431,B170)=1</x:f>
        <x:v>1</x:v>
      </x:c>
      <x:c r="F170" s="54" t="b">
        <x:f>A170=B170</x:f>
        <x:v>0</x:v>
      </x:c>
      <x:c r="G170" s="54" t="str">
        <x:f>IF(AND(D170,E170,NOT(F170),C170&gt;0),"OK","CHECK")</x:f>
        <x:v>OK</x:v>
      </x:c>
    </x:row>
    <x:row r="171">
      <x:c r="A171" s="54" t="str">
        <x:v>KIT-0004</x:v>
      </x:c>
      <x:c r="B171" s="54" t="str">
        <x:v>PRT-0045</x:v>
      </x:c>
      <x:c r="C171" s="63" t="n">
        <x:v>16</x:v>
      </x:c>
      <x:c r="D171" s="54" t="b">
        <x:f>COUNTIF('Inventory'!$A$4:$A$431,A171)=1</x:f>
        <x:v>1</x:v>
      </x:c>
      <x:c r="E171" s="54" t="b">
        <x:f>COUNTIF('Inventory'!$A$4:$A$431,B171)=1</x:f>
        <x:v>1</x:v>
      </x:c>
      <x:c r="F171" s="54" t="b">
        <x:f>A171=B171</x:f>
        <x:v>0</x:v>
      </x:c>
      <x:c r="G171" s="54" t="str">
        <x:f>IF(AND(D171,E171,NOT(F171),C171&gt;0),"OK","CHECK")</x:f>
        <x:v>OK</x:v>
      </x:c>
    </x:row>
    <x:row r="172">
      <x:c r="A172" s="54" t="str">
        <x:v>KIT-0004</x:v>
      </x:c>
      <x:c r="B172" s="54" t="str">
        <x:v>PRT-0048</x:v>
      </x:c>
      <x:c r="C172" s="63" t="n">
        <x:v>24</x:v>
      </x:c>
      <x:c r="D172" s="54" t="b">
        <x:f>COUNTIF('Inventory'!$A$4:$A$431,A172)=1</x:f>
        <x:v>1</x:v>
      </x:c>
      <x:c r="E172" s="54" t="b">
        <x:f>COUNTIF('Inventory'!$A$4:$A$431,B172)=1</x:f>
        <x:v>1</x:v>
      </x:c>
      <x:c r="F172" s="54" t="b">
        <x:f>A172=B172</x:f>
        <x:v>0</x:v>
      </x:c>
      <x:c r="G172" s="54" t="str">
        <x:f>IF(AND(D172,E172,NOT(F172),C172&gt;0),"OK","CHECK")</x:f>
        <x:v>OK</x:v>
      </x:c>
    </x:row>
    <x:row r="173">
      <x:c r="A173" s="54" t="str">
        <x:v>QAR-0004</x:v>
      </x:c>
      <x:c r="B173" s="54" t="str">
        <x:v>QAR-0025</x:v>
      </x:c>
      <x:c r="C173" s="63" t="n">
        <x:v>1</x:v>
      </x:c>
      <x:c r="D173" s="54" t="b">
        <x:f>COUNTIF('Inventory'!$A$4:$A$431,A173)=1</x:f>
        <x:v>1</x:v>
      </x:c>
      <x:c r="E173" s="54" t="b">
        <x:f>COUNTIF('Inventory'!$A$4:$A$431,B173)=1</x:f>
        <x:v>1</x:v>
      </x:c>
      <x:c r="F173" s="54" t="b">
        <x:f>A173=B173</x:f>
        <x:v>0</x:v>
      </x:c>
      <x:c r="G173" s="54" t="str">
        <x:f>IF(AND(D173,E173,NOT(F173),C173&gt;0),"OK","CHECK")</x:f>
        <x:v>OK</x:v>
      </x:c>
    </x:row>
    <x:row r="174">
      <x:c r="A174" s="54" t="str">
        <x:v>QAR-0004</x:v>
      </x:c>
      <x:c r="B174" s="54" t="str">
        <x:v>OFT-0009</x:v>
      </x:c>
      <x:c r="C174" s="63" t="n">
        <x:v>1</x:v>
      </x:c>
      <x:c r="D174" s="54" t="b">
        <x:f>COUNTIF('Inventory'!$A$4:$A$431,A174)=1</x:f>
        <x:v>1</x:v>
      </x:c>
      <x:c r="E174" s="54" t="b">
        <x:f>COUNTIF('Inventory'!$A$4:$A$431,B174)=1</x:f>
        <x:v>1</x:v>
      </x:c>
      <x:c r="F174" s="54" t="b">
        <x:f>A174=B174</x:f>
        <x:v>0</x:v>
      </x:c>
      <x:c r="G174" s="54" t="str">
        <x:f>IF(AND(D174,E174,NOT(F174),C174&gt;0),"OK","CHECK")</x:f>
        <x:v>OK</x:v>
      </x:c>
    </x:row>
    <x:row r="175">
      <x:c r="A175" s="54" t="str">
        <x:v>QAR-0004</x:v>
      </x:c>
      <x:c r="B175" s="54" t="str">
        <x:v>OFT-0010</x:v>
      </x:c>
      <x:c r="C175" s="63" t="n">
        <x:v>1</x:v>
      </x:c>
      <x:c r="D175" s="54" t="b">
        <x:f>COUNTIF('Inventory'!$A$4:$A$431,A175)=1</x:f>
        <x:v>1</x:v>
      </x:c>
      <x:c r="E175" s="54" t="b">
        <x:f>COUNTIF('Inventory'!$A$4:$A$431,B175)=1</x:f>
        <x:v>1</x:v>
      </x:c>
      <x:c r="F175" s="54" t="b">
        <x:f>A175=B175</x:f>
        <x:v>0</x:v>
      </x:c>
      <x:c r="G175" s="54" t="str">
        <x:f>IF(AND(D175,E175,NOT(F175),C175&gt;0),"OK","CHECK")</x:f>
        <x:v>OK</x:v>
      </x:c>
    </x:row>
    <x:row r="176">
      <x:c r="A176" s="54" t="str">
        <x:v>QAR-0004</x:v>
      </x:c>
      <x:c r="B176" s="54" t="str">
        <x:v>QAR-0026</x:v>
      </x:c>
      <x:c r="C176" s="63" t="n">
        <x:v>1</x:v>
      </x:c>
      <x:c r="D176" s="54" t="b">
        <x:f>COUNTIF('Inventory'!$A$4:$A$431,A176)=1</x:f>
        <x:v>1</x:v>
      </x:c>
      <x:c r="E176" s="54" t="b">
        <x:f>COUNTIF('Inventory'!$A$4:$A$431,B176)=1</x:f>
        <x:v>1</x:v>
      </x:c>
      <x:c r="F176" s="54" t="b">
        <x:f>A176=B176</x:f>
        <x:v>0</x:v>
      </x:c>
      <x:c r="G176" s="54" t="str">
        <x:f>IF(AND(D176,E176,NOT(F176),C176&gt;0),"OK","CHECK")</x:f>
        <x:v>OK</x:v>
      </x:c>
    </x:row>
    <x:row r="177">
      <x:c r="A177" s="54" t="str">
        <x:v>QAR-0004</x:v>
      </x:c>
      <x:c r="B177" s="54" t="str">
        <x:v>OFT-0011</x:v>
      </x:c>
      <x:c r="C177" s="63" t="n">
        <x:v>1</x:v>
      </x:c>
      <x:c r="D177" s="54" t="b">
        <x:f>COUNTIF('Inventory'!$A$4:$A$431,A177)=1</x:f>
        <x:v>1</x:v>
      </x:c>
      <x:c r="E177" s="54" t="b">
        <x:f>COUNTIF('Inventory'!$A$4:$A$431,B177)=1</x:f>
        <x:v>1</x:v>
      </x:c>
      <x:c r="F177" s="54" t="b">
        <x:f>A177=B177</x:f>
        <x:v>0</x:v>
      </x:c>
      <x:c r="G177" s="54" t="str">
        <x:f>IF(AND(D177,E177,NOT(F177),C177&gt;0),"OK","CHECK")</x:f>
        <x:v>OK</x:v>
      </x:c>
    </x:row>
    <x:row r="178">
      <x:c r="A178" s="54" t="str">
        <x:v>QAR-0025</x:v>
      </x:c>
      <x:c r="B178" s="54" t="str">
        <x:v>QAR-0027</x:v>
      </x:c>
      <x:c r="C178" s="63" t="n">
        <x:v>1</x:v>
      </x:c>
      <x:c r="D178" s="54" t="b">
        <x:f>COUNTIF('Inventory'!$A$4:$A$431,A178)=1</x:f>
        <x:v>1</x:v>
      </x:c>
      <x:c r="E178" s="54" t="b">
        <x:f>COUNTIF('Inventory'!$A$4:$A$431,B178)=1</x:f>
        <x:v>1</x:v>
      </x:c>
      <x:c r="F178" s="54" t="b">
        <x:f>A178=B178</x:f>
        <x:v>0</x:v>
      </x:c>
      <x:c r="G178" s="54" t="str">
        <x:f>IF(AND(D178,E178,NOT(F178),C178&gt;0),"OK","CHECK")</x:f>
        <x:v>OK</x:v>
      </x:c>
    </x:row>
    <x:row r="179">
      <x:c r="A179" s="54" t="str">
        <x:v>QAR-0025</x:v>
      </x:c>
      <x:c r="B179" s="54" t="str">
        <x:v>QAR-0028</x:v>
      </x:c>
      <x:c r="C179" s="63" t="n">
        <x:v>1</x:v>
      </x:c>
      <x:c r="D179" s="54" t="b">
        <x:f>COUNTIF('Inventory'!$A$4:$A$431,A179)=1</x:f>
        <x:v>1</x:v>
      </x:c>
      <x:c r="E179" s="54" t="b">
        <x:f>COUNTIF('Inventory'!$A$4:$A$431,B179)=1</x:f>
        <x:v>1</x:v>
      </x:c>
      <x:c r="F179" s="54" t="b">
        <x:f>A179=B179</x:f>
        <x:v>0</x:v>
      </x:c>
      <x:c r="G179" s="54" t="str">
        <x:f>IF(AND(D179,E179,NOT(F179),C179&gt;0),"OK","CHECK")</x:f>
        <x:v>OK</x:v>
      </x:c>
    </x:row>
    <x:row r="180">
      <x:c r="A180" s="54" t="str">
        <x:v>QAR-0025</x:v>
      </x:c>
      <x:c r="B180" s="54" t="str">
        <x:v>QAR-0029</x:v>
      </x:c>
      <x:c r="C180" s="63" t="n">
        <x:v>1</x:v>
      </x:c>
      <x:c r="D180" s="54" t="b">
        <x:f>COUNTIF('Inventory'!$A$4:$A$431,A180)=1</x:f>
        <x:v>1</x:v>
      </x:c>
      <x:c r="E180" s="54" t="b">
        <x:f>COUNTIF('Inventory'!$A$4:$A$431,B180)=1</x:f>
        <x:v>1</x:v>
      </x:c>
      <x:c r="F180" s="54" t="b">
        <x:f>A180=B180</x:f>
        <x:v>0</x:v>
      </x:c>
      <x:c r="G180" s="54" t="str">
        <x:f>IF(AND(D180,E180,NOT(F180),C180&gt;0),"OK","CHECK")</x:f>
        <x:v>OK</x:v>
      </x:c>
    </x:row>
    <x:row r="181">
      <x:c r="A181" s="54" t="str">
        <x:v>QAR-0025</x:v>
      </x:c>
      <x:c r="B181" s="54" t="str">
        <x:v>QAR-0030</x:v>
      </x:c>
      <x:c r="C181" s="63" t="n">
        <x:v>1</x:v>
      </x:c>
      <x:c r="D181" s="54" t="b">
        <x:f>COUNTIF('Inventory'!$A$4:$A$431,A181)=1</x:f>
        <x:v>1</x:v>
      </x:c>
      <x:c r="E181" s="54" t="b">
        <x:f>COUNTIF('Inventory'!$A$4:$A$431,B181)=1</x:f>
        <x:v>1</x:v>
      </x:c>
      <x:c r="F181" s="54" t="b">
        <x:f>A181=B181</x:f>
        <x:v>0</x:v>
      </x:c>
      <x:c r="G181" s="54" t="str">
        <x:f>IF(AND(D181,E181,NOT(F181),C181&gt;0),"OK","CHECK")</x:f>
        <x:v>OK</x:v>
      </x:c>
    </x:row>
    <x:row r="182">
      <x:c r="A182" s="54" t="str">
        <x:v>QAR-0025</x:v>
      </x:c>
      <x:c r="B182" s="54" t="str">
        <x:v>QAR-0031</x:v>
      </x:c>
      <x:c r="C182" s="63" t="n">
        <x:v>1</x:v>
      </x:c>
      <x:c r="D182" s="54" t="b">
        <x:f>COUNTIF('Inventory'!$A$4:$A$431,A182)=1</x:f>
        <x:v>1</x:v>
      </x:c>
      <x:c r="E182" s="54" t="b">
        <x:f>COUNTIF('Inventory'!$A$4:$A$431,B182)=1</x:f>
        <x:v>1</x:v>
      </x:c>
      <x:c r="F182" s="54" t="b">
        <x:f>A182=B182</x:f>
        <x:v>0</x:v>
      </x:c>
      <x:c r="G182" s="54" t="str">
        <x:f>IF(AND(D182,E182,NOT(F182),C182&gt;0),"OK","CHECK")</x:f>
        <x:v>OK</x:v>
      </x:c>
    </x:row>
    <x:row r="183">
      <x:c r="A183" s="54" t="str">
        <x:v>QAR-0025</x:v>
      </x:c>
      <x:c r="B183" s="54" t="str">
        <x:v>QAR-0032</x:v>
      </x:c>
      <x:c r="C183" s="63" t="n">
        <x:v>1</x:v>
      </x:c>
      <x:c r="D183" s="54" t="b">
        <x:f>COUNTIF('Inventory'!$A$4:$A$431,A183)=1</x:f>
        <x:v>1</x:v>
      </x:c>
      <x:c r="E183" s="54" t="b">
        <x:f>COUNTIF('Inventory'!$A$4:$A$431,B183)=1</x:f>
        <x:v>1</x:v>
      </x:c>
      <x:c r="F183" s="54" t="b">
        <x:f>A183=B183</x:f>
        <x:v>0</x:v>
      </x:c>
      <x:c r="G183" s="54" t="str">
        <x:f>IF(AND(D183,E183,NOT(F183),C183&gt;0),"OK","CHECK")</x:f>
        <x:v>OK</x:v>
      </x:c>
    </x:row>
    <x:row r="184">
      <x:c r="A184" s="54" t="str">
        <x:v>QAR-0025</x:v>
      </x:c>
      <x:c r="B184" s="54" t="str">
        <x:v>QAR-0033</x:v>
      </x:c>
      <x:c r="C184" s="63" t="n">
        <x:v>1</x:v>
      </x:c>
      <x:c r="D184" s="54" t="b">
        <x:f>COUNTIF('Inventory'!$A$4:$A$431,A184)=1</x:f>
        <x:v>1</x:v>
      </x:c>
      <x:c r="E184" s="54" t="b">
        <x:f>COUNTIF('Inventory'!$A$4:$A$431,B184)=1</x:f>
        <x:v>1</x:v>
      </x:c>
      <x:c r="F184" s="54" t="b">
        <x:f>A184=B184</x:f>
        <x:v>0</x:v>
      </x:c>
      <x:c r="G184" s="54" t="str">
        <x:f>IF(AND(D184,E184,NOT(F184),C184&gt;0),"OK","CHECK")</x:f>
        <x:v>OK</x:v>
      </x:c>
    </x:row>
    <x:row r="185">
      <x:c r="A185" s="54" t="str">
        <x:v>QAR-0025</x:v>
      </x:c>
      <x:c r="B185" s="54" t="str">
        <x:v>QAR-0034</x:v>
      </x:c>
      <x:c r="C185" s="63" t="n">
        <x:v>1</x:v>
      </x:c>
      <x:c r="D185" s="54" t="b">
        <x:f>COUNTIF('Inventory'!$A$4:$A$431,A185)=1</x:f>
        <x:v>1</x:v>
      </x:c>
      <x:c r="E185" s="54" t="b">
        <x:f>COUNTIF('Inventory'!$A$4:$A$431,B185)=1</x:f>
        <x:v>1</x:v>
      </x:c>
      <x:c r="F185" s="54" t="b">
        <x:f>A185=B185</x:f>
        <x:v>0</x:v>
      </x:c>
      <x:c r="G185" s="54" t="str">
        <x:f>IF(AND(D185,E185,NOT(F185),C185&gt;0),"OK","CHECK")</x:f>
        <x:v>OK</x:v>
      </x:c>
    </x:row>
    <x:row r="186">
      <x:c r="A186" s="54" t="str">
        <x:v>QAR-0025</x:v>
      </x:c>
      <x:c r="B186" s="54" t="str">
        <x:v>QAR-0035</x:v>
      </x:c>
      <x:c r="C186" s="63" t="n">
        <x:v>1</x:v>
      </x:c>
      <x:c r="D186" s="54" t="b">
        <x:f>COUNTIF('Inventory'!$A$4:$A$431,A186)=1</x:f>
        <x:v>1</x:v>
      </x:c>
      <x:c r="E186" s="54" t="b">
        <x:f>COUNTIF('Inventory'!$A$4:$A$431,B186)=1</x:f>
        <x:v>1</x:v>
      </x:c>
      <x:c r="F186" s="54" t="b">
        <x:f>A186=B186</x:f>
        <x:v>0</x:v>
      </x:c>
      <x:c r="G186" s="54" t="str">
        <x:f>IF(AND(D186,E186,NOT(F186),C186&gt;0),"OK","CHECK")</x:f>
        <x:v>OK</x:v>
      </x:c>
    </x:row>
    <x:row r="187">
      <x:c r="A187" s="54" t="str">
        <x:v>QAR-0025</x:v>
      </x:c>
      <x:c r="B187" s="54" t="str">
        <x:v>QAR-0036</x:v>
      </x:c>
      <x:c r="C187" s="63" t="n">
        <x:v>1</x:v>
      </x:c>
      <x:c r="D187" s="54" t="b">
        <x:f>COUNTIF('Inventory'!$A$4:$A$431,A187)=1</x:f>
        <x:v>1</x:v>
      </x:c>
      <x:c r="E187" s="54" t="b">
        <x:f>COUNTIF('Inventory'!$A$4:$A$431,B187)=1</x:f>
        <x:v>1</x:v>
      </x:c>
      <x:c r="F187" s="54" t="b">
        <x:f>A187=B187</x:f>
        <x:v>0</x:v>
      </x:c>
      <x:c r="G187" s="54" t="str">
        <x:f>IF(AND(D187,E187,NOT(F187),C187&gt;0),"OK","CHECK")</x:f>
        <x:v>OK</x:v>
      </x:c>
    </x:row>
    <x:row r="188">
      <x:c r="A188" s="54" t="str">
        <x:v>QAR-0025</x:v>
      </x:c>
      <x:c r="B188" s="54" t="str">
        <x:v>QAR-0037</x:v>
      </x:c>
      <x:c r="C188" s="63" t="n">
        <x:v>1</x:v>
      </x:c>
      <x:c r="D188" s="54" t="b">
        <x:f>COUNTIF('Inventory'!$A$4:$A$431,A188)=1</x:f>
        <x:v>1</x:v>
      </x:c>
      <x:c r="E188" s="54" t="b">
        <x:f>COUNTIF('Inventory'!$A$4:$A$431,B188)=1</x:f>
        <x:v>1</x:v>
      </x:c>
      <x:c r="F188" s="54" t="b">
        <x:f>A188=B188</x:f>
        <x:v>0</x:v>
      </x:c>
      <x:c r="G188" s="54" t="str">
        <x:f>IF(AND(D188,E188,NOT(F188),C188&gt;0),"OK","CHECK")</x:f>
        <x:v>OK</x:v>
      </x:c>
    </x:row>
    <x:row r="189">
      <x:c r="A189" s="54" t="str">
        <x:v>QAR-0025</x:v>
      </x:c>
      <x:c r="B189" s="54" t="str">
        <x:v>QAR-0038</x:v>
      </x:c>
      <x:c r="C189" s="63" t="n">
        <x:v>1</x:v>
      </x:c>
      <x:c r="D189" s="54" t="b">
        <x:f>COUNTIF('Inventory'!$A$4:$A$431,A189)=1</x:f>
        <x:v>1</x:v>
      </x:c>
      <x:c r="E189" s="54" t="b">
        <x:f>COUNTIF('Inventory'!$A$4:$A$431,B189)=1</x:f>
        <x:v>1</x:v>
      </x:c>
      <x:c r="F189" s="54" t="b">
        <x:f>A189=B189</x:f>
        <x:v>0</x:v>
      </x:c>
      <x:c r="G189" s="54" t="str">
        <x:f>IF(AND(D189,E189,NOT(F189),C189&gt;0),"OK","CHECK")</x:f>
        <x:v>OK</x:v>
      </x:c>
    </x:row>
    <x:row r="190">
      <x:c r="A190" s="54" t="str">
        <x:v>OFT-0009</x:v>
      </x:c>
      <x:c r="B190" s="54" t="str">
        <x:v>ASM-0020</x:v>
      </x:c>
      <x:c r="C190" s="63" t="n">
        <x:v>6</x:v>
      </x:c>
      <x:c r="D190" s="54" t="b">
        <x:f>COUNTIF('Inventory'!$A$4:$A$431,A190)=1</x:f>
        <x:v>1</x:v>
      </x:c>
      <x:c r="E190" s="54" t="b">
        <x:f>COUNTIF('Inventory'!$A$4:$A$431,B190)=1</x:f>
        <x:v>1</x:v>
      </x:c>
      <x:c r="F190" s="54" t="b">
        <x:f>A190=B190</x:f>
        <x:v>0</x:v>
      </x:c>
      <x:c r="G190" s="54" t="str">
        <x:f>IF(AND(D190,E190,NOT(F190),C190&gt;0),"OK","CHECK")</x:f>
        <x:v>OK</x:v>
      </x:c>
    </x:row>
    <x:row r="191">
      <x:c r="A191" s="54" t="str">
        <x:v>OFT-0009</x:v>
      </x:c>
      <x:c r="B191" s="54" t="str">
        <x:v>ASM-0021</x:v>
      </x:c>
      <x:c r="C191" s="63" t="n">
        <x:v>5</x:v>
      </x:c>
      <x:c r="D191" s="54" t="b">
        <x:f>COUNTIF('Inventory'!$A$4:$A$431,A191)=1</x:f>
        <x:v>1</x:v>
      </x:c>
      <x:c r="E191" s="54" t="b">
        <x:f>COUNTIF('Inventory'!$A$4:$A$431,B191)=1</x:f>
        <x:v>1</x:v>
      </x:c>
      <x:c r="F191" s="54" t="b">
        <x:f>A191=B191</x:f>
        <x:v>0</x:v>
      </x:c>
      <x:c r="G191" s="54" t="str">
        <x:f>IF(AND(D191,E191,NOT(F191),C191&gt;0),"OK","CHECK")</x:f>
        <x:v>OK</x:v>
      </x:c>
    </x:row>
    <x:row r="192">
      <x:c r="A192" s="54" t="str">
        <x:v>OFT-0009</x:v>
      </x:c>
      <x:c r="B192" s="54" t="str">
        <x:v>ASM-0022</x:v>
      </x:c>
      <x:c r="C192" s="63" t="n">
        <x:v>4</x:v>
      </x:c>
      <x:c r="D192" s="54" t="b">
        <x:f>COUNTIF('Inventory'!$A$4:$A$431,A192)=1</x:f>
        <x:v>1</x:v>
      </x:c>
      <x:c r="E192" s="54" t="b">
        <x:f>COUNTIF('Inventory'!$A$4:$A$431,B192)=1</x:f>
        <x:v>1</x:v>
      </x:c>
      <x:c r="F192" s="54" t="b">
        <x:f>A192=B192</x:f>
        <x:v>0</x:v>
      </x:c>
      <x:c r="G192" s="54" t="str">
        <x:f>IF(AND(D192,E192,NOT(F192),C192&gt;0),"OK","CHECK")</x:f>
        <x:v>OK</x:v>
      </x:c>
    </x:row>
    <x:row r="193">
      <x:c r="A193" s="54" t="str">
        <x:v>OFT-0009</x:v>
      </x:c>
      <x:c r="B193" s="54" t="str">
        <x:v>PRT-0063</x:v>
      </x:c>
      <x:c r="C193" s="63" t="n">
        <x:v>2</x:v>
      </x:c>
      <x:c r="D193" s="54" t="b">
        <x:f>COUNTIF('Inventory'!$A$4:$A$431,A193)=1</x:f>
        <x:v>1</x:v>
      </x:c>
      <x:c r="E193" s="54" t="b">
        <x:f>COUNTIF('Inventory'!$A$4:$A$431,B193)=1</x:f>
        <x:v>1</x:v>
      </x:c>
      <x:c r="F193" s="54" t="b">
        <x:f>A193=B193</x:f>
        <x:v>0</x:v>
      </x:c>
      <x:c r="G193" s="54" t="str">
        <x:f>IF(AND(D193,E193,NOT(F193),C193&gt;0),"OK","CHECK")</x:f>
        <x:v>OK</x:v>
      </x:c>
    </x:row>
    <x:row r="194">
      <x:c r="A194" s="54" t="str">
        <x:v>OFT-0009</x:v>
      </x:c>
      <x:c r="B194" s="54" t="str">
        <x:v>PRT-0064</x:v>
      </x:c>
      <x:c r="C194" s="63" t="n">
        <x:v>2</x:v>
      </x:c>
      <x:c r="D194" s="54" t="b">
        <x:f>COUNTIF('Inventory'!$A$4:$A$431,A194)=1</x:f>
        <x:v>1</x:v>
      </x:c>
      <x:c r="E194" s="54" t="b">
        <x:f>COUNTIF('Inventory'!$A$4:$A$431,B194)=1</x:f>
        <x:v>1</x:v>
      </x:c>
      <x:c r="F194" s="54" t="b">
        <x:f>A194=B194</x:f>
        <x:v>0</x:v>
      </x:c>
      <x:c r="G194" s="54" t="str">
        <x:f>IF(AND(D194,E194,NOT(F194),C194&gt;0),"OK","CHECK")</x:f>
        <x:v>OK</x:v>
      </x:c>
    </x:row>
    <x:row r="195">
      <x:c r="A195" s="54" t="str">
        <x:v>OFT-0009</x:v>
      </x:c>
      <x:c r="B195" s="54" t="str">
        <x:v>PRT-0065</x:v>
      </x:c>
      <x:c r="C195" s="63" t="n">
        <x:v>1</x:v>
      </x:c>
      <x:c r="D195" s="54" t="b">
        <x:f>COUNTIF('Inventory'!$A$4:$A$431,A195)=1</x:f>
        <x:v>1</x:v>
      </x:c>
      <x:c r="E195" s="54" t="b">
        <x:f>COUNTIF('Inventory'!$A$4:$A$431,B195)=1</x:f>
        <x:v>1</x:v>
      </x:c>
      <x:c r="F195" s="54" t="b">
        <x:f>A195=B195</x:f>
        <x:v>0</x:v>
      </x:c>
      <x:c r="G195" s="54" t="str">
        <x:f>IF(AND(D195,E195,NOT(F195),C195&gt;0),"OK","CHECK")</x:f>
        <x:v>OK</x:v>
      </x:c>
    </x:row>
    <x:row r="196">
      <x:c r="A196" s="54" t="str">
        <x:v>OFT-0009</x:v>
      </x:c>
      <x:c r="B196" s="54" t="str">
        <x:v>PRT-0066</x:v>
      </x:c>
      <x:c r="C196" s="63" t="n">
        <x:v>8</x:v>
      </x:c>
      <x:c r="D196" s="54" t="b">
        <x:f>COUNTIF('Inventory'!$A$4:$A$431,A196)=1</x:f>
        <x:v>1</x:v>
      </x:c>
      <x:c r="E196" s="54" t="b">
        <x:f>COUNTIF('Inventory'!$A$4:$A$431,B196)=1</x:f>
        <x:v>1</x:v>
      </x:c>
      <x:c r="F196" s="54" t="b">
        <x:f>A196=B196</x:f>
        <x:v>0</x:v>
      </x:c>
      <x:c r="G196" s="54" t="str">
        <x:f>IF(AND(D196,E196,NOT(F196),C196&gt;0),"OK","CHECK")</x:f>
        <x:v>OK</x:v>
      </x:c>
    </x:row>
    <x:row r="197">
      <x:c r="A197" s="54" t="str">
        <x:v>OFT-0009</x:v>
      </x:c>
      <x:c r="B197" s="54" t="str">
        <x:v>PRT-0067</x:v>
      </x:c>
      <x:c r="C197" s="63" t="n">
        <x:v>24</x:v>
      </x:c>
      <x:c r="D197" s="54" t="b">
        <x:f>COUNTIF('Inventory'!$A$4:$A$431,A197)=1</x:f>
        <x:v>1</x:v>
      </x:c>
      <x:c r="E197" s="54" t="b">
        <x:f>COUNTIF('Inventory'!$A$4:$A$431,B197)=1</x:f>
        <x:v>1</x:v>
      </x:c>
      <x:c r="F197" s="54" t="b">
        <x:f>A197=B197</x:f>
        <x:v>0</x:v>
      </x:c>
      <x:c r="G197" s="54" t="str">
        <x:f>IF(AND(D197,E197,NOT(F197),C197&gt;0),"OK","CHECK")</x:f>
        <x:v>OK</x:v>
      </x:c>
    </x:row>
    <x:row r="198">
      <x:c r="A198" s="54" t="str">
        <x:v>OFT-0009</x:v>
      </x:c>
      <x:c r="B198" s="54" t="str">
        <x:v>PRT-0068</x:v>
      </x:c>
      <x:c r="C198" s="63" t="n">
        <x:v>48</x:v>
      </x:c>
      <x:c r="D198" s="54" t="b">
        <x:f>COUNTIF('Inventory'!$A$4:$A$431,A198)=1</x:f>
        <x:v>1</x:v>
      </x:c>
      <x:c r="E198" s="54" t="b">
        <x:f>COUNTIF('Inventory'!$A$4:$A$431,B198)=1</x:f>
        <x:v>1</x:v>
      </x:c>
      <x:c r="F198" s="54" t="b">
        <x:f>A198=B198</x:f>
        <x:v>0</x:v>
      </x:c>
      <x:c r="G198" s="54" t="str">
        <x:f>IF(AND(D198,E198,NOT(F198),C198&gt;0),"OK","CHECK")</x:f>
        <x:v>OK</x:v>
      </x:c>
    </x:row>
    <x:row r="199">
      <x:c r="A199" s="54" t="str">
        <x:v>OFT-0009</x:v>
      </x:c>
      <x:c r="B199" s="54" t="str">
        <x:v>PRT-0069</x:v>
      </x:c>
      <x:c r="C199" s="63" t="n">
        <x:v>32</x:v>
      </x:c>
      <x:c r="D199" s="54" t="b">
        <x:f>COUNTIF('Inventory'!$A$4:$A$431,A199)=1</x:f>
        <x:v>1</x:v>
      </x:c>
      <x:c r="E199" s="54" t="b">
        <x:f>COUNTIF('Inventory'!$A$4:$A$431,B199)=1</x:f>
        <x:v>1</x:v>
      </x:c>
      <x:c r="F199" s="54" t="b">
        <x:f>A199=B199</x:f>
        <x:v>0</x:v>
      </x:c>
      <x:c r="G199" s="54" t="str">
        <x:f>IF(AND(D199,E199,NOT(F199),C199&gt;0),"OK","CHECK")</x:f>
        <x:v>OK</x:v>
      </x:c>
    </x:row>
    <x:row r="200">
      <x:c r="A200" s="54" t="str">
        <x:v>OFT-0009</x:v>
      </x:c>
      <x:c r="B200" s="54" t="str">
        <x:v>PRT-0070</x:v>
      </x:c>
      <x:c r="C200" s="63" t="n">
        <x:v>80</x:v>
      </x:c>
      <x:c r="D200" s="54" t="b">
        <x:f>COUNTIF('Inventory'!$A$4:$A$431,A200)=1</x:f>
        <x:v>1</x:v>
      </x:c>
      <x:c r="E200" s="54" t="b">
        <x:f>COUNTIF('Inventory'!$A$4:$A$431,B200)=1</x:f>
        <x:v>1</x:v>
      </x:c>
      <x:c r="F200" s="54" t="b">
        <x:f>A200=B200</x:f>
        <x:v>0</x:v>
      </x:c>
      <x:c r="G200" s="54" t="str">
        <x:f>IF(AND(D200,E200,NOT(F200),C200&gt;0),"OK","CHECK")</x:f>
        <x:v>OK</x:v>
      </x:c>
    </x:row>
    <x:row r="201">
      <x:c r="A201" s="54" t="str">
        <x:v>OFT-0009</x:v>
      </x:c>
      <x:c r="B201" s="54" t="str">
        <x:v>PRT-0071</x:v>
      </x:c>
      <x:c r="C201" s="63" t="n">
        <x:v>40</x:v>
      </x:c>
      <x:c r="D201" s="54" t="b">
        <x:f>COUNTIF('Inventory'!$A$4:$A$431,A201)=1</x:f>
        <x:v>1</x:v>
      </x:c>
      <x:c r="E201" s="54" t="b">
        <x:f>COUNTIF('Inventory'!$A$4:$A$431,B201)=1</x:f>
        <x:v>1</x:v>
      </x:c>
      <x:c r="F201" s="54" t="b">
        <x:f>A201=B201</x:f>
        <x:v>0</x:v>
      </x:c>
      <x:c r="G201" s="54" t="str">
        <x:f>IF(AND(D201,E201,NOT(F201),C201&gt;0),"OK","CHECK")</x:f>
        <x:v>OK</x:v>
      </x:c>
    </x:row>
    <x:row r="202">
      <x:c r="A202" s="54" t="str">
        <x:v>OFT-0010</x:v>
      </x:c>
      <x:c r="B202" s="54" t="str">
        <x:v>PRT-0072</x:v>
      </x:c>
      <x:c r="C202" s="63" t="n">
        <x:v>6</x:v>
      </x:c>
      <x:c r="D202" s="54" t="b">
        <x:f>COUNTIF('Inventory'!$A$4:$A$431,A202)=1</x:f>
        <x:v>1</x:v>
      </x:c>
      <x:c r="E202" s="54" t="b">
        <x:f>COUNTIF('Inventory'!$A$4:$A$431,B202)=1</x:f>
        <x:v>1</x:v>
      </x:c>
      <x:c r="F202" s="54" t="b">
        <x:f>A202=B202</x:f>
        <x:v>0</x:v>
      </x:c>
      <x:c r="G202" s="54" t="str">
        <x:f>IF(AND(D202,E202,NOT(F202),C202&gt;0),"OK","CHECK")</x:f>
        <x:v>OK</x:v>
      </x:c>
    </x:row>
    <x:row r="203">
      <x:c r="A203" s="54" t="str">
        <x:v>OFT-0010</x:v>
      </x:c>
      <x:c r="B203" s="54" t="str">
        <x:v>PRT-0073</x:v>
      </x:c>
      <x:c r="C203" s="63" t="n">
        <x:v>10</x:v>
      </x:c>
      <x:c r="D203" s="54" t="b">
        <x:f>COUNTIF('Inventory'!$A$4:$A$431,A203)=1</x:f>
        <x:v>1</x:v>
      </x:c>
      <x:c r="E203" s="54" t="b">
        <x:f>COUNTIF('Inventory'!$A$4:$A$431,B203)=1</x:f>
        <x:v>1</x:v>
      </x:c>
      <x:c r="F203" s="54" t="b">
        <x:f>A203=B203</x:f>
        <x:v>0</x:v>
      </x:c>
      <x:c r="G203" s="54" t="str">
        <x:f>IF(AND(D203,E203,NOT(F203),C203&gt;0),"OK","CHECK")</x:f>
        <x:v>OK</x:v>
      </x:c>
    </x:row>
    <x:row r="204">
      <x:c r="A204" s="54" t="str">
        <x:v>OFT-0010</x:v>
      </x:c>
      <x:c r="B204" s="54" t="str">
        <x:v>PRT-0074</x:v>
      </x:c>
      <x:c r="C204" s="63" t="n">
        <x:v>8</x:v>
      </x:c>
      <x:c r="D204" s="54" t="b">
        <x:f>COUNTIF('Inventory'!$A$4:$A$431,A204)=1</x:f>
        <x:v>1</x:v>
      </x:c>
      <x:c r="E204" s="54" t="b">
        <x:f>COUNTIF('Inventory'!$A$4:$A$431,B204)=1</x:f>
        <x:v>1</x:v>
      </x:c>
      <x:c r="F204" s="54" t="b">
        <x:f>A204=B204</x:f>
        <x:v>0</x:v>
      </x:c>
      <x:c r="G204" s="54" t="str">
        <x:f>IF(AND(D204,E204,NOT(F204),C204&gt;0),"OK","CHECK")</x:f>
        <x:v>OK</x:v>
      </x:c>
    </x:row>
    <x:row r="205">
      <x:c r="A205" s="54" t="str">
        <x:v>OFT-0010</x:v>
      </x:c>
      <x:c r="B205" s="54" t="str">
        <x:v>PRT-0075</x:v>
      </x:c>
      <x:c r="C205" s="63" t="n">
        <x:v>18</x:v>
      </x:c>
      <x:c r="D205" s="54" t="b">
        <x:f>COUNTIF('Inventory'!$A$4:$A$431,A205)=1</x:f>
        <x:v>1</x:v>
      </x:c>
      <x:c r="E205" s="54" t="b">
        <x:f>COUNTIF('Inventory'!$A$4:$A$431,B205)=1</x:f>
        <x:v>1</x:v>
      </x:c>
      <x:c r="F205" s="54" t="b">
        <x:f>A205=B205</x:f>
        <x:v>0</x:v>
      </x:c>
      <x:c r="G205" s="54" t="str">
        <x:f>IF(AND(D205,E205,NOT(F205),C205&gt;0),"OK","CHECK")</x:f>
        <x:v>OK</x:v>
      </x:c>
    </x:row>
    <x:row r="206">
      <x:c r="A206" s="54" t="str">
        <x:v>OFT-0010</x:v>
      </x:c>
      <x:c r="B206" s="54" t="str">
        <x:v>PRT-0076</x:v>
      </x:c>
      <x:c r="C206" s="63" t="n">
        <x:v>20</x:v>
      </x:c>
      <x:c r="D206" s="54" t="b">
        <x:f>COUNTIF('Inventory'!$A$4:$A$431,A206)=1</x:f>
        <x:v>1</x:v>
      </x:c>
      <x:c r="E206" s="54" t="b">
        <x:f>COUNTIF('Inventory'!$A$4:$A$431,B206)=1</x:f>
        <x:v>1</x:v>
      </x:c>
      <x:c r="F206" s="54" t="b">
        <x:f>A206=B206</x:f>
        <x:v>0</x:v>
      </x:c>
      <x:c r="G206" s="54" t="str">
        <x:f>IF(AND(D206,E206,NOT(F206),C206&gt;0),"OK","CHECK")</x:f>
        <x:v>OK</x:v>
      </x:c>
    </x:row>
    <x:row r="207">
      <x:c r="A207" s="54" t="str">
        <x:v>OFT-0010</x:v>
      </x:c>
      <x:c r="B207" s="54" t="str">
        <x:v>PRT-0077</x:v>
      </x:c>
      <x:c r="C207" s="63" t="n">
        <x:v>16</x:v>
      </x:c>
      <x:c r="D207" s="54" t="b">
        <x:f>COUNTIF('Inventory'!$A$4:$A$431,A207)=1</x:f>
        <x:v>1</x:v>
      </x:c>
      <x:c r="E207" s="54" t="b">
        <x:f>COUNTIF('Inventory'!$A$4:$A$431,B207)=1</x:f>
        <x:v>1</x:v>
      </x:c>
      <x:c r="F207" s="54" t="b">
        <x:f>A207=B207</x:f>
        <x:v>0</x:v>
      </x:c>
      <x:c r="G207" s="54" t="str">
        <x:f>IF(AND(D207,E207,NOT(F207),C207&gt;0),"OK","CHECK")</x:f>
        <x:v>OK</x:v>
      </x:c>
    </x:row>
    <x:row r="208">
      <x:c r="A208" s="54" t="str">
        <x:v>OFT-0010</x:v>
      </x:c>
      <x:c r="B208" s="54" t="str">
        <x:v>PRT-0078</x:v>
      </x:c>
      <x:c r="C208" s="63" t="n">
        <x:v>20</x:v>
      </x:c>
      <x:c r="D208" s="54" t="b">
        <x:f>COUNTIF('Inventory'!$A$4:$A$431,A208)=1</x:f>
        <x:v>1</x:v>
      </x:c>
      <x:c r="E208" s="54" t="b">
        <x:f>COUNTIF('Inventory'!$A$4:$A$431,B208)=1</x:f>
        <x:v>1</x:v>
      </x:c>
      <x:c r="F208" s="54" t="b">
        <x:f>A208=B208</x:f>
        <x:v>0</x:v>
      </x:c>
      <x:c r="G208" s="54" t="str">
        <x:f>IF(AND(D208,E208,NOT(F208),C208&gt;0),"OK","CHECK")</x:f>
        <x:v>OK</x:v>
      </x:c>
    </x:row>
    <x:row r="209">
      <x:c r="A209" s="54" t="str">
        <x:v>OFT-0010</x:v>
      </x:c>
      <x:c r="B209" s="54" t="str">
        <x:v>PRT-0079</x:v>
      </x:c>
      <x:c r="C209" s="63" t="n">
        <x:v>28</x:v>
      </x:c>
      <x:c r="D209" s="54" t="b">
        <x:f>COUNTIF('Inventory'!$A$4:$A$431,A209)=1</x:f>
        <x:v>1</x:v>
      </x:c>
      <x:c r="E209" s="54" t="b">
        <x:f>COUNTIF('Inventory'!$A$4:$A$431,B209)=1</x:f>
        <x:v>1</x:v>
      </x:c>
      <x:c r="F209" s="54" t="b">
        <x:f>A209=B209</x:f>
        <x:v>0</x:v>
      </x:c>
      <x:c r="G209" s="54" t="str">
        <x:f>IF(AND(D209,E209,NOT(F209),C209&gt;0),"OK","CHECK")</x:f>
        <x:v>OK</x:v>
      </x:c>
    </x:row>
    <x:row r="210">
      <x:c r="A210" s="54" t="str">
        <x:v>OFT-0010</x:v>
      </x:c>
      <x:c r="B210" s="54" t="str">
        <x:v>PRT-0080</x:v>
      </x:c>
      <x:c r="C210" s="63" t="n">
        <x:v>8</x:v>
      </x:c>
      <x:c r="D210" s="54" t="b">
        <x:f>COUNTIF('Inventory'!$A$4:$A$431,A210)=1</x:f>
        <x:v>1</x:v>
      </x:c>
      <x:c r="E210" s="54" t="b">
        <x:f>COUNTIF('Inventory'!$A$4:$A$431,B210)=1</x:f>
        <x:v>1</x:v>
      </x:c>
      <x:c r="F210" s="54" t="b">
        <x:f>A210=B210</x:f>
        <x:v>0</x:v>
      </x:c>
      <x:c r="G210" s="54" t="str">
        <x:f>IF(AND(D210,E210,NOT(F210),C210&gt;0),"OK","CHECK")</x:f>
        <x:v>OK</x:v>
      </x:c>
    </x:row>
    <x:row r="211">
      <x:c r="A211" s="54" t="str">
        <x:v>QAR-0026</x:v>
      </x:c>
      <x:c r="B211" s="54" t="str">
        <x:v>QAR-0039</x:v>
      </x:c>
      <x:c r="C211" s="63" t="n">
        <x:v>2</x:v>
      </x:c>
      <x:c r="D211" s="54" t="b">
        <x:f>COUNTIF('Inventory'!$A$4:$A$431,A211)=1</x:f>
        <x:v>1</x:v>
      </x:c>
      <x:c r="E211" s="54" t="b">
        <x:f>COUNTIF('Inventory'!$A$4:$A$431,B211)=1</x:f>
        <x:v>1</x:v>
      </x:c>
      <x:c r="F211" s="54" t="b">
        <x:f>A211=B211</x:f>
        <x:v>0</x:v>
      </x:c>
      <x:c r="G211" s="54" t="str">
        <x:f>IF(AND(D211,E211,NOT(F211),C211&gt;0),"OK","CHECK")</x:f>
        <x:v>OK</x:v>
      </x:c>
    </x:row>
    <x:row r="212">
      <x:c r="A212" s="54" t="str">
        <x:v>QAR-0026</x:v>
      </x:c>
      <x:c r="B212" s="54" t="str">
        <x:v>QAR-0040</x:v>
      </x:c>
      <x:c r="C212" s="63" t="n">
        <x:v>2</x:v>
      </x:c>
      <x:c r="D212" s="54" t="b">
        <x:f>COUNTIF('Inventory'!$A$4:$A$431,A212)=1</x:f>
        <x:v>1</x:v>
      </x:c>
      <x:c r="E212" s="54" t="b">
        <x:f>COUNTIF('Inventory'!$A$4:$A$431,B212)=1</x:f>
        <x:v>1</x:v>
      </x:c>
      <x:c r="F212" s="54" t="b">
        <x:f>A212=B212</x:f>
        <x:v>0</x:v>
      </x:c>
      <x:c r="G212" s="54" t="str">
        <x:f>IF(AND(D212,E212,NOT(F212),C212&gt;0),"OK","CHECK")</x:f>
        <x:v>OK</x:v>
      </x:c>
    </x:row>
    <x:row r="213">
      <x:c r="A213" s="54" t="str">
        <x:v>QAR-0026</x:v>
      </x:c>
      <x:c r="B213" s="54" t="str">
        <x:v>QAR-0041</x:v>
      </x:c>
      <x:c r="C213" s="63" t="n">
        <x:v>1</x:v>
      </x:c>
      <x:c r="D213" s="54" t="b">
        <x:f>COUNTIF('Inventory'!$A$4:$A$431,A213)=1</x:f>
        <x:v>1</x:v>
      </x:c>
      <x:c r="E213" s="54" t="b">
        <x:f>COUNTIF('Inventory'!$A$4:$A$431,B213)=1</x:f>
        <x:v>1</x:v>
      </x:c>
      <x:c r="F213" s="54" t="b">
        <x:f>A213=B213</x:f>
        <x:v>0</x:v>
      </x:c>
      <x:c r="G213" s="54" t="str">
        <x:f>IF(AND(D213,E213,NOT(F213),C213&gt;0),"OK","CHECK")</x:f>
        <x:v>OK</x:v>
      </x:c>
    </x:row>
    <x:row r="214">
      <x:c r="A214" s="54" t="str">
        <x:v>QAR-0026</x:v>
      </x:c>
      <x:c r="B214" s="54" t="str">
        <x:v>QAR-0042</x:v>
      </x:c>
      <x:c r="C214" s="63" t="n">
        <x:v>2</x:v>
      </x:c>
      <x:c r="D214" s="54" t="b">
        <x:f>COUNTIF('Inventory'!$A$4:$A$431,A214)=1</x:f>
        <x:v>1</x:v>
      </x:c>
      <x:c r="E214" s="54" t="b">
        <x:f>COUNTIF('Inventory'!$A$4:$A$431,B214)=1</x:f>
        <x:v>1</x:v>
      </x:c>
      <x:c r="F214" s="54" t="b">
        <x:f>A214=B214</x:f>
        <x:v>0</x:v>
      </x:c>
      <x:c r="G214" s="54" t="str">
        <x:f>IF(AND(D214,E214,NOT(F214),C214&gt;0),"OK","CHECK")</x:f>
        <x:v>OK</x:v>
      </x:c>
    </x:row>
    <x:row r="215">
      <x:c r="A215" s="54" t="str">
        <x:v>QAR-0026</x:v>
      </x:c>
      <x:c r="B215" s="54" t="str">
        <x:v>QAR-0043</x:v>
      </x:c>
      <x:c r="C215" s="63" t="n">
        <x:v>2</x:v>
      </x:c>
      <x:c r="D215" s="54" t="b">
        <x:f>COUNTIF('Inventory'!$A$4:$A$431,A215)=1</x:f>
        <x:v>1</x:v>
      </x:c>
      <x:c r="E215" s="54" t="b">
        <x:f>COUNTIF('Inventory'!$A$4:$A$431,B215)=1</x:f>
        <x:v>1</x:v>
      </x:c>
      <x:c r="F215" s="54" t="b">
        <x:f>A215=B215</x:f>
        <x:v>0</x:v>
      </x:c>
      <x:c r="G215" s="54" t="str">
        <x:f>IF(AND(D215,E215,NOT(F215),C215&gt;0),"OK","CHECK")</x:f>
        <x:v>OK</x:v>
      </x:c>
    </x:row>
    <x:row r="216">
      <x:c r="A216" s="54" t="str">
        <x:v>QAR-0026</x:v>
      </x:c>
      <x:c r="B216" s="54" t="str">
        <x:v>QAR-0044</x:v>
      </x:c>
      <x:c r="C216" s="63" t="n">
        <x:v>1</x:v>
      </x:c>
      <x:c r="D216" s="54" t="b">
        <x:f>COUNTIF('Inventory'!$A$4:$A$431,A216)=1</x:f>
        <x:v>1</x:v>
      </x:c>
      <x:c r="E216" s="54" t="b">
        <x:f>COUNTIF('Inventory'!$A$4:$A$431,B216)=1</x:f>
        <x:v>1</x:v>
      </x:c>
      <x:c r="F216" s="54" t="b">
        <x:f>A216=B216</x:f>
        <x:v>0</x:v>
      </x:c>
      <x:c r="G216" s="54" t="str">
        <x:f>IF(AND(D216,E216,NOT(F216),C216&gt;0),"OK","CHECK")</x:f>
        <x:v>OK</x:v>
      </x:c>
    </x:row>
    <x:row r="217">
      <x:c r="A217" s="54" t="str">
        <x:v>QAR-0026</x:v>
      </x:c>
      <x:c r="B217" s="54" t="str">
        <x:v>QAR-0045</x:v>
      </x:c>
      <x:c r="C217" s="63" t="n">
        <x:v>1</x:v>
      </x:c>
      <x:c r="D217" s="54" t="b">
        <x:f>COUNTIF('Inventory'!$A$4:$A$431,A217)=1</x:f>
        <x:v>1</x:v>
      </x:c>
      <x:c r="E217" s="54" t="b">
        <x:f>COUNTIF('Inventory'!$A$4:$A$431,B217)=1</x:f>
        <x:v>1</x:v>
      </x:c>
      <x:c r="F217" s="54" t="b">
        <x:f>A217=B217</x:f>
        <x:v>0</x:v>
      </x:c>
      <x:c r="G217" s="54" t="str">
        <x:f>IF(AND(D217,E217,NOT(F217),C217&gt;0),"OK","CHECK")</x:f>
        <x:v>OK</x:v>
      </x:c>
    </x:row>
    <x:row r="218">
      <x:c r="A218" s="54" t="str">
        <x:v>QAR-0026</x:v>
      </x:c>
      <x:c r="B218" s="54" t="str">
        <x:v>QAR-0046</x:v>
      </x:c>
      <x:c r="C218" s="63" t="n">
        <x:v>1</x:v>
      </x:c>
      <x:c r="D218" s="54" t="b">
        <x:f>COUNTIF('Inventory'!$A$4:$A$431,A218)=1</x:f>
        <x:v>1</x:v>
      </x:c>
      <x:c r="E218" s="54" t="b">
        <x:f>COUNTIF('Inventory'!$A$4:$A$431,B218)=1</x:f>
        <x:v>1</x:v>
      </x:c>
      <x:c r="F218" s="54" t="b">
        <x:f>A218=B218</x:f>
        <x:v>0</x:v>
      </x:c>
      <x:c r="G218" s="54" t="str">
        <x:f>IF(AND(D218,E218,NOT(F218),C218&gt;0),"OK","CHECK")</x:f>
        <x:v>OK</x:v>
      </x:c>
    </x:row>
    <x:row r="219">
      <x:c r="A219" s="54" t="str">
        <x:v>QAR-0026</x:v>
      </x:c>
      <x:c r="B219" s="54" t="str">
        <x:v>QAR-0047</x:v>
      </x:c>
      <x:c r="C219" s="63" t="n">
        <x:v>1</x:v>
      </x:c>
      <x:c r="D219" s="54" t="b">
        <x:f>COUNTIF('Inventory'!$A$4:$A$431,A219)=1</x:f>
        <x:v>1</x:v>
      </x:c>
      <x:c r="E219" s="54" t="b">
        <x:f>COUNTIF('Inventory'!$A$4:$A$431,B219)=1</x:f>
        <x:v>1</x:v>
      </x:c>
      <x:c r="F219" s="54" t="b">
        <x:f>A219=B219</x:f>
        <x:v>0</x:v>
      </x:c>
      <x:c r="G219" s="54" t="str">
        <x:f>IF(AND(D219,E219,NOT(F219),C219&gt;0),"OK","CHECK")</x:f>
        <x:v>OK</x:v>
      </x:c>
    </x:row>
    <x:row r="220">
      <x:c r="A220" s="54" t="str">
        <x:v>QAR-0026</x:v>
      </x:c>
      <x:c r="B220" s="54" t="str">
        <x:v>QAR-0048</x:v>
      </x:c>
      <x:c r="C220" s="63" t="n">
        <x:v>1</x:v>
      </x:c>
      <x:c r="D220" s="54" t="b">
        <x:f>COUNTIF('Inventory'!$A$4:$A$431,A220)=1</x:f>
        <x:v>1</x:v>
      </x:c>
      <x:c r="E220" s="54" t="b">
        <x:f>COUNTIF('Inventory'!$A$4:$A$431,B220)=1</x:f>
        <x:v>1</x:v>
      </x:c>
      <x:c r="F220" s="54" t="b">
        <x:f>A220=B220</x:f>
        <x:v>0</x:v>
      </x:c>
      <x:c r="G220" s="54" t="str">
        <x:f>IF(AND(D220,E220,NOT(F220),C220&gt;0),"OK","CHECK")</x:f>
        <x:v>OK</x:v>
      </x:c>
    </x:row>
    <x:row r="221">
      <x:c r="A221" s="54" t="str">
        <x:v>QAR-0026</x:v>
      </x:c>
      <x:c r="B221" s="54" t="str">
        <x:v>QAR-0049</x:v>
      </x:c>
      <x:c r="C221" s="63" t="n">
        <x:v>1</x:v>
      </x:c>
      <x:c r="D221" s="54" t="b">
        <x:f>COUNTIF('Inventory'!$A$4:$A$431,A221)=1</x:f>
        <x:v>1</x:v>
      </x:c>
      <x:c r="E221" s="54" t="b">
        <x:f>COUNTIF('Inventory'!$A$4:$A$431,B221)=1</x:f>
        <x:v>1</x:v>
      </x:c>
      <x:c r="F221" s="54" t="b">
        <x:f>A221=B221</x:f>
        <x:v>0</x:v>
      </x:c>
      <x:c r="G221" s="54" t="str">
        <x:f>IF(AND(D221,E221,NOT(F221),C221&gt;0),"OK","CHECK")</x:f>
        <x:v>OK</x:v>
      </x:c>
    </x:row>
    <x:row r="222">
      <x:c r="A222" s="54" t="str">
        <x:v>QAR-0026</x:v>
      </x:c>
      <x:c r="B222" s="54" t="str">
        <x:v>QAR-0050</x:v>
      </x:c>
      <x:c r="C222" s="63" t="n">
        <x:v>1</x:v>
      </x:c>
      <x:c r="D222" s="54" t="b">
        <x:f>COUNTIF('Inventory'!$A$4:$A$431,A222)=1</x:f>
        <x:v>1</x:v>
      </x:c>
      <x:c r="E222" s="54" t="b">
        <x:f>COUNTIF('Inventory'!$A$4:$A$431,B222)=1</x:f>
        <x:v>1</x:v>
      </x:c>
      <x:c r="F222" s="54" t="b">
        <x:f>A222=B222</x:f>
        <x:v>0</x:v>
      </x:c>
      <x:c r="G222" s="54" t="str">
        <x:f>IF(AND(D222,E222,NOT(F222),C222&gt;0),"OK","CHECK")</x:f>
        <x:v>OK</x:v>
      </x:c>
    </x:row>
    <x:row r="223">
      <x:c r="A223" s="54" t="str">
        <x:v>QAR-0026</x:v>
      </x:c>
      <x:c r="B223" s="54" t="str">
        <x:v>QAR-0051</x:v>
      </x:c>
      <x:c r="C223" s="63" t="n">
        <x:v>1</x:v>
      </x:c>
      <x:c r="D223" s="54" t="b">
        <x:f>COUNTIF('Inventory'!$A$4:$A$431,A223)=1</x:f>
        <x:v>1</x:v>
      </x:c>
      <x:c r="E223" s="54" t="b">
        <x:f>COUNTIF('Inventory'!$A$4:$A$431,B223)=1</x:f>
        <x:v>1</x:v>
      </x:c>
      <x:c r="F223" s="54" t="b">
        <x:f>A223=B223</x:f>
        <x:v>0</x:v>
      </x:c>
      <x:c r="G223" s="54" t="str">
        <x:f>IF(AND(D223,E223,NOT(F223),C223&gt;0),"OK","CHECK")</x:f>
        <x:v>OK</x:v>
      </x:c>
    </x:row>
    <x:row r="224">
      <x:c r="A224" s="54" t="str">
        <x:v>QAR-0026</x:v>
      </x:c>
      <x:c r="B224" s="54" t="str">
        <x:v>QAR-0052</x:v>
      </x:c>
      <x:c r="C224" s="63" t="n">
        <x:v>1</x:v>
      </x:c>
      <x:c r="D224" s="54" t="b">
        <x:f>COUNTIF('Inventory'!$A$4:$A$431,A224)=1</x:f>
        <x:v>1</x:v>
      </x:c>
      <x:c r="E224" s="54" t="b">
        <x:f>COUNTIF('Inventory'!$A$4:$A$431,B224)=1</x:f>
        <x:v>1</x:v>
      </x:c>
      <x:c r="F224" s="54" t="b">
        <x:f>A224=B224</x:f>
        <x:v>0</x:v>
      </x:c>
      <x:c r="G224" s="54" t="str">
        <x:f>IF(AND(D224,E224,NOT(F224),C224&gt;0),"OK","CHECK")</x:f>
        <x:v>OK</x:v>
      </x:c>
    </x:row>
    <x:row r="225">
      <x:c r="A225" s="54" t="str">
        <x:v>OFT-0011</x:v>
      </x:c>
      <x:c r="B225" s="54" t="str">
        <x:v>PRT-0081</x:v>
      </x:c>
      <x:c r="C225" s="63" t="n">
        <x:v>80</x:v>
      </x:c>
      <x:c r="D225" s="54" t="b">
        <x:f>COUNTIF('Inventory'!$A$4:$A$431,A225)=1</x:f>
        <x:v>1</x:v>
      </x:c>
      <x:c r="E225" s="54" t="b">
        <x:f>COUNTIF('Inventory'!$A$4:$A$431,B225)=1</x:f>
        <x:v>1</x:v>
      </x:c>
      <x:c r="F225" s="54" t="b">
        <x:f>A225=B225</x:f>
        <x:v>0</x:v>
      </x:c>
      <x:c r="G225" s="54" t="str">
        <x:f>IF(AND(D225,E225,NOT(F225),C225&gt;0),"OK","CHECK")</x:f>
        <x:v>OK</x:v>
      </x:c>
    </x:row>
    <x:row r="226">
      <x:c r="A226" s="54" t="str">
        <x:v>OFT-0011</x:v>
      </x:c>
      <x:c r="B226" s="54" t="str">
        <x:v>PRT-0082</x:v>
      </x:c>
      <x:c r="C226" s="63" t="n">
        <x:v>64</x:v>
      </x:c>
      <x:c r="D226" s="54" t="b">
        <x:f>COUNTIF('Inventory'!$A$4:$A$431,A226)=1</x:f>
        <x:v>1</x:v>
      </x:c>
      <x:c r="E226" s="54" t="b">
        <x:f>COUNTIF('Inventory'!$A$4:$A$431,B226)=1</x:f>
        <x:v>1</x:v>
      </x:c>
      <x:c r="F226" s="54" t="b">
        <x:f>A226=B226</x:f>
        <x:v>0</x:v>
      </x:c>
      <x:c r="G226" s="54" t="str">
        <x:f>IF(AND(D226,E226,NOT(F226),C226&gt;0),"OK","CHECK")</x:f>
        <x:v>OK</x:v>
      </x:c>
    </x:row>
    <x:row r="227">
      <x:c r="A227" s="54" t="str">
        <x:v>OFT-0011</x:v>
      </x:c>
      <x:c r="B227" s="54" t="str">
        <x:v>PRT-0083</x:v>
      </x:c>
      <x:c r="C227" s="63" t="n">
        <x:v>32</x:v>
      </x:c>
      <x:c r="D227" s="54" t="b">
        <x:f>COUNTIF('Inventory'!$A$4:$A$431,A227)=1</x:f>
        <x:v>1</x:v>
      </x:c>
      <x:c r="E227" s="54" t="b">
        <x:f>COUNTIF('Inventory'!$A$4:$A$431,B227)=1</x:f>
        <x:v>1</x:v>
      </x:c>
      <x:c r="F227" s="54" t="b">
        <x:f>A227=B227</x:f>
        <x:v>0</x:v>
      </x:c>
      <x:c r="G227" s="54" t="str">
        <x:f>IF(AND(D227,E227,NOT(F227),C227&gt;0),"OK","CHECK")</x:f>
        <x:v>OK</x:v>
      </x:c>
    </x:row>
    <x:row r="228">
      <x:c r="A228" s="54" t="str">
        <x:v>OFT-0011</x:v>
      </x:c>
      <x:c r="B228" s="54" t="str">
        <x:v>PRT-0084</x:v>
      </x:c>
      <x:c r="C228" s="63" t="n">
        <x:v>32</x:v>
      </x:c>
      <x:c r="D228" s="54" t="b">
        <x:f>COUNTIF('Inventory'!$A$4:$A$431,A228)=1</x:f>
        <x:v>1</x:v>
      </x:c>
      <x:c r="E228" s="54" t="b">
        <x:f>COUNTIF('Inventory'!$A$4:$A$431,B228)=1</x:f>
        <x:v>1</x:v>
      </x:c>
      <x:c r="F228" s="54" t="b">
        <x:f>A228=B228</x:f>
        <x:v>0</x:v>
      </x:c>
      <x:c r="G228" s="54" t="str">
        <x:f>IF(AND(D228,E228,NOT(F228),C228&gt;0),"OK","CHECK")</x:f>
        <x:v>OK</x:v>
      </x:c>
    </x:row>
    <x:row r="229">
      <x:c r="A229" s="54" t="str">
        <x:v>OFT-0011</x:v>
      </x:c>
      <x:c r="B229" s="54" t="str">
        <x:v>PRT-0085</x:v>
      </x:c>
      <x:c r="C229" s="63" t="n">
        <x:v>12</x:v>
      </x:c>
      <x:c r="D229" s="54" t="b">
        <x:f>COUNTIF('Inventory'!$A$4:$A$431,A229)=1</x:f>
        <x:v>1</x:v>
      </x:c>
      <x:c r="E229" s="54" t="b">
        <x:f>COUNTIF('Inventory'!$A$4:$A$431,B229)=1</x:f>
        <x:v>1</x:v>
      </x:c>
      <x:c r="F229" s="54" t="b">
        <x:f>A229=B229</x:f>
        <x:v>0</x:v>
      </x:c>
      <x:c r="G229" s="54" t="str">
        <x:f>IF(AND(D229,E229,NOT(F229),C229&gt;0),"OK","CHECK")</x:f>
        <x:v>OK</x:v>
      </x:c>
    </x:row>
    <x:row r="230">
      <x:c r="A230" s="54" t="str">
        <x:v>OFT-0011</x:v>
      </x:c>
      <x:c r="B230" s="54" t="str">
        <x:v>PRT-0086</x:v>
      </x:c>
      <x:c r="C230" s="63" t="n">
        <x:v>48</x:v>
      </x:c>
      <x:c r="D230" s="54" t="b">
        <x:f>COUNTIF('Inventory'!$A$4:$A$431,A230)=1</x:f>
        <x:v>1</x:v>
      </x:c>
      <x:c r="E230" s="54" t="b">
        <x:f>COUNTIF('Inventory'!$A$4:$A$431,B230)=1</x:f>
        <x:v>1</x:v>
      </x:c>
      <x:c r="F230" s="54" t="b">
        <x:f>A230=B230</x:f>
        <x:v>0</x:v>
      </x:c>
      <x:c r="G230" s="54" t="str">
        <x:f>IF(AND(D230,E230,NOT(F230),C230&gt;0),"OK","CHECK")</x:f>
        <x:v>OK</x:v>
      </x:c>
    </x:row>
    <x:row r="231">
      <x:c r="A231" s="54" t="str">
        <x:v>OFT-0011</x:v>
      </x:c>
      <x:c r="B231" s="54" t="str">
        <x:v>PRT-0087</x:v>
      </x:c>
      <x:c r="C231" s="63" t="n">
        <x:v>60</x:v>
      </x:c>
      <x:c r="D231" s="54" t="b">
        <x:f>COUNTIF('Inventory'!$A$4:$A$431,A231)=1</x:f>
        <x:v>1</x:v>
      </x:c>
      <x:c r="E231" s="54" t="b">
        <x:f>COUNTIF('Inventory'!$A$4:$A$431,B231)=1</x:f>
        <x:v>1</x:v>
      </x:c>
      <x:c r="F231" s="54" t="b">
        <x:f>A231=B231</x:f>
        <x:v>0</x:v>
      </x:c>
      <x:c r="G231" s="54" t="str">
        <x:f>IF(AND(D231,E231,NOT(F231),C231&gt;0),"OK","CHECK")</x:f>
        <x:v>OK</x:v>
      </x:c>
    </x:row>
    <x:row r="232">
      <x:c r="A232" s="54" t="str">
        <x:v>QAR-0005</x:v>
      </x:c>
      <x:c r="B232" s="54" t="str">
        <x:v>KIT-0020</x:v>
      </x:c>
      <x:c r="C232" s="63" t="n">
        <x:v>2</x:v>
      </x:c>
      <x:c r="D232" s="54" t="b">
        <x:f>COUNTIF('Inventory'!$A$4:$A$431,A232)=1</x:f>
        <x:v>1</x:v>
      </x:c>
      <x:c r="E232" s="54" t="b">
        <x:f>COUNTIF('Inventory'!$A$4:$A$431,B232)=1</x:f>
        <x:v>1</x:v>
      </x:c>
      <x:c r="F232" s="54" t="b">
        <x:f>A232=B232</x:f>
        <x:v>0</x:v>
      </x:c>
      <x:c r="G232" s="54" t="str">
        <x:f>IF(AND(D232,E232,NOT(F232),C232&gt;0),"OK","CHECK")</x:f>
        <x:v>OK</x:v>
      </x:c>
    </x:row>
    <x:row r="233">
      <x:c r="A233" s="54" t="str">
        <x:v>QAR-0005</x:v>
      </x:c>
      <x:c r="B233" s="54" t="str">
        <x:v>KIT-0021</x:v>
      </x:c>
      <x:c r="C233" s="63" t="n">
        <x:v>1</x:v>
      </x:c>
      <x:c r="D233" s="54" t="b">
        <x:f>COUNTIF('Inventory'!$A$4:$A$431,A233)=1</x:f>
        <x:v>1</x:v>
      </x:c>
      <x:c r="E233" s="54" t="b">
        <x:f>COUNTIF('Inventory'!$A$4:$A$431,B233)=1</x:f>
        <x:v>1</x:v>
      </x:c>
      <x:c r="F233" s="54" t="b">
        <x:f>A233=B233</x:f>
        <x:v>0</x:v>
      </x:c>
      <x:c r="G233" s="54" t="str">
        <x:f>IF(AND(D233,E233,NOT(F233),C233&gt;0),"OK","CHECK")</x:f>
        <x:v>OK</x:v>
      </x:c>
    </x:row>
    <x:row r="234">
      <x:c r="A234" s="54" t="str">
        <x:v>QAR-0005</x:v>
      </x:c>
      <x:c r="B234" s="54" t="str">
        <x:v>KIT-0022</x:v>
      </x:c>
      <x:c r="C234" s="63" t="n">
        <x:v>1</x:v>
      </x:c>
      <x:c r="D234" s="54" t="b">
        <x:f>COUNTIF('Inventory'!$A$4:$A$431,A234)=1</x:f>
        <x:v>1</x:v>
      </x:c>
      <x:c r="E234" s="54" t="b">
        <x:f>COUNTIF('Inventory'!$A$4:$A$431,B234)=1</x:f>
        <x:v>1</x:v>
      </x:c>
      <x:c r="F234" s="54" t="b">
        <x:f>A234=B234</x:f>
        <x:v>0</x:v>
      </x:c>
      <x:c r="G234" s="54" t="str">
        <x:f>IF(AND(D234,E234,NOT(F234),C234&gt;0),"OK","CHECK")</x:f>
        <x:v>OK</x:v>
      </x:c>
    </x:row>
    <x:row r="235">
      <x:c r="A235" s="54" t="str">
        <x:v>QAR-0005</x:v>
      </x:c>
      <x:c r="B235" s="54" t="str">
        <x:v>KIT-0023</x:v>
      </x:c>
      <x:c r="C235" s="63" t="n">
        <x:v>2</x:v>
      </x:c>
      <x:c r="D235" s="54" t="b">
        <x:f>COUNTIF('Inventory'!$A$4:$A$431,A235)=1</x:f>
        <x:v>1</x:v>
      </x:c>
      <x:c r="E235" s="54" t="b">
        <x:f>COUNTIF('Inventory'!$A$4:$A$431,B235)=1</x:f>
        <x:v>1</x:v>
      </x:c>
      <x:c r="F235" s="54" t="b">
        <x:f>A235=B235</x:f>
        <x:v>0</x:v>
      </x:c>
      <x:c r="G235" s="54" t="str">
        <x:f>IF(AND(D235,E235,NOT(F235),C235&gt;0),"OK","CHECK")</x:f>
        <x:v>OK</x:v>
      </x:c>
    </x:row>
    <x:row r="236">
      <x:c r="A236" s="54" t="str">
        <x:v>QAR-0005</x:v>
      </x:c>
      <x:c r="B236" s="54" t="str">
        <x:v>OFT-0012</x:v>
      </x:c>
      <x:c r="C236" s="63" t="n">
        <x:v>1</x:v>
      </x:c>
      <x:c r="D236" s="54" t="b">
        <x:f>COUNTIF('Inventory'!$A$4:$A$431,A236)=1</x:f>
        <x:v>1</x:v>
      </x:c>
      <x:c r="E236" s="54" t="b">
        <x:f>COUNTIF('Inventory'!$A$4:$A$431,B236)=1</x:f>
        <x:v>1</x:v>
      </x:c>
      <x:c r="F236" s="54" t="b">
        <x:f>A236=B236</x:f>
        <x:v>0</x:v>
      </x:c>
      <x:c r="G236" s="54" t="str">
        <x:f>IF(AND(D236,E236,NOT(F236),C236&gt;0),"OK","CHECK")</x:f>
        <x:v>OK</x:v>
      </x:c>
    </x:row>
    <x:row r="237">
      <x:c r="A237" s="54" t="str">
        <x:v>KIT-0020</x:v>
      </x:c>
      <x:c r="B237" s="54" t="str">
        <x:v>PRT-0088</x:v>
      </x:c>
      <x:c r="C237" s="63" t="n">
        <x:v>1</x:v>
      </x:c>
      <x:c r="D237" s="54" t="b">
        <x:f>COUNTIF('Inventory'!$A$4:$A$431,A237)=1</x:f>
        <x:v>1</x:v>
      </x:c>
      <x:c r="E237" s="54" t="b">
        <x:f>COUNTIF('Inventory'!$A$4:$A$431,B237)=1</x:f>
        <x:v>1</x:v>
      </x:c>
      <x:c r="F237" s="54" t="b">
        <x:f>A237=B237</x:f>
        <x:v>0</x:v>
      </x:c>
      <x:c r="G237" s="54" t="str">
        <x:f>IF(AND(D237,E237,NOT(F237),C237&gt;0),"OK","CHECK")</x:f>
        <x:v>OK</x:v>
      </x:c>
    </x:row>
    <x:row r="238">
      <x:c r="A238" s="54" t="str">
        <x:v>KIT-0020</x:v>
      </x:c>
      <x:c r="B238" s="54" t="str">
        <x:v>PRT-0092</x:v>
      </x:c>
      <x:c r="C238" s="63" t="n">
        <x:v>1</x:v>
      </x:c>
      <x:c r="D238" s="54" t="b">
        <x:f>COUNTIF('Inventory'!$A$4:$A$431,A238)=1</x:f>
        <x:v>1</x:v>
      </x:c>
      <x:c r="E238" s="54" t="b">
        <x:f>COUNTIF('Inventory'!$A$4:$A$431,B238)=1</x:f>
        <x:v>1</x:v>
      </x:c>
      <x:c r="F238" s="54" t="b">
        <x:f>A238=B238</x:f>
        <x:v>0</x:v>
      </x:c>
      <x:c r="G238" s="54" t="str">
        <x:f>IF(AND(D238,E238,NOT(F238),C238&gt;0),"OK","CHECK")</x:f>
        <x:v>OK</x:v>
      </x:c>
    </x:row>
    <x:row r="239">
      <x:c r="A239" s="54" t="str">
        <x:v>KIT-0020</x:v>
      </x:c>
      <x:c r="B239" s="54" t="str">
        <x:v>ASM-0023</x:v>
      </x:c>
      <x:c r="C239" s="63" t="n">
        <x:v>1</x:v>
      </x:c>
      <x:c r="D239" s="54" t="b">
        <x:f>COUNTIF('Inventory'!$A$4:$A$431,A239)=1</x:f>
        <x:v>1</x:v>
      </x:c>
      <x:c r="E239" s="54" t="b">
        <x:f>COUNTIF('Inventory'!$A$4:$A$431,B239)=1</x:f>
        <x:v>1</x:v>
      </x:c>
      <x:c r="F239" s="54" t="b">
        <x:f>A239=B239</x:f>
        <x:v>0</x:v>
      </x:c>
      <x:c r="G239" s="54" t="str">
        <x:f>IF(AND(D239,E239,NOT(F239),C239&gt;0),"OK","CHECK")</x:f>
        <x:v>OK</x:v>
      </x:c>
    </x:row>
    <x:row r="240">
      <x:c r="A240" s="54" t="str">
        <x:v>KIT-0020</x:v>
      </x:c>
      <x:c r="B240" s="54" t="str">
        <x:v>PRT-0096</x:v>
      </x:c>
      <x:c r="C240" s="63" t="n">
        <x:v>1</x:v>
      </x:c>
      <x:c r="D240" s="54" t="b">
        <x:f>COUNTIF('Inventory'!$A$4:$A$431,A240)=1</x:f>
        <x:v>1</x:v>
      </x:c>
      <x:c r="E240" s="54" t="b">
        <x:f>COUNTIF('Inventory'!$A$4:$A$431,B240)=1</x:f>
        <x:v>1</x:v>
      </x:c>
      <x:c r="F240" s="54" t="b">
        <x:f>A240=B240</x:f>
        <x:v>0</x:v>
      </x:c>
      <x:c r="G240" s="54" t="str">
        <x:f>IF(AND(D240,E240,NOT(F240),C240&gt;0),"OK","CHECK")</x:f>
        <x:v>OK</x:v>
      </x:c>
    </x:row>
    <x:row r="241">
      <x:c r="A241" s="54" t="str">
        <x:v>KIT-0020</x:v>
      </x:c>
      <x:c r="B241" s="54" t="str">
        <x:v>LBL-0005</x:v>
      </x:c>
      <x:c r="C241" s="63" t="n">
        <x:v>1</x:v>
      </x:c>
      <x:c r="D241" s="54" t="b">
        <x:f>COUNTIF('Inventory'!$A$4:$A$431,A241)=1</x:f>
        <x:v>1</x:v>
      </x:c>
      <x:c r="E241" s="54" t="b">
        <x:f>COUNTIF('Inventory'!$A$4:$A$431,B241)=1</x:f>
        <x:v>1</x:v>
      </x:c>
      <x:c r="F241" s="54" t="b">
        <x:f>A241=B241</x:f>
        <x:v>0</x:v>
      </x:c>
      <x:c r="G241" s="54" t="str">
        <x:f>IF(AND(D241,E241,NOT(F241),C241&gt;0),"OK","CHECK")</x:f>
        <x:v>OK</x:v>
      </x:c>
    </x:row>
    <x:row r="242">
      <x:c r="A242" s="54" t="str">
        <x:v>KIT-0021</x:v>
      </x:c>
      <x:c r="B242" s="54" t="str">
        <x:v>PRT-0089</x:v>
      </x:c>
      <x:c r="C242" s="63" t="n">
        <x:v>1</x:v>
      </x:c>
      <x:c r="D242" s="54" t="b">
        <x:f>COUNTIF('Inventory'!$A$4:$A$431,A242)=1</x:f>
        <x:v>1</x:v>
      </x:c>
      <x:c r="E242" s="54" t="b">
        <x:f>COUNTIF('Inventory'!$A$4:$A$431,B242)=1</x:f>
        <x:v>1</x:v>
      </x:c>
      <x:c r="F242" s="54" t="b">
        <x:f>A242=B242</x:f>
        <x:v>0</x:v>
      </x:c>
      <x:c r="G242" s="54" t="str">
        <x:f>IF(AND(D242,E242,NOT(F242),C242&gt;0),"OK","CHECK")</x:f>
        <x:v>OK</x:v>
      </x:c>
    </x:row>
    <x:row r="243">
      <x:c r="A243" s="54" t="str">
        <x:v>KIT-0021</x:v>
      </x:c>
      <x:c r="B243" s="54" t="str">
        <x:v>PRT-0093</x:v>
      </x:c>
      <x:c r="C243" s="63" t="n">
        <x:v>1</x:v>
      </x:c>
      <x:c r="D243" s="54" t="b">
        <x:f>COUNTIF('Inventory'!$A$4:$A$431,A243)=1</x:f>
        <x:v>1</x:v>
      </x:c>
      <x:c r="E243" s="54" t="b">
        <x:f>COUNTIF('Inventory'!$A$4:$A$431,B243)=1</x:f>
        <x:v>1</x:v>
      </x:c>
      <x:c r="F243" s="54" t="b">
        <x:f>A243=B243</x:f>
        <x:v>0</x:v>
      </x:c>
      <x:c r="G243" s="54" t="str">
        <x:f>IF(AND(D243,E243,NOT(F243),C243&gt;0),"OK","CHECK")</x:f>
        <x:v>OK</x:v>
      </x:c>
    </x:row>
    <x:row r="244">
      <x:c r="A244" s="54" t="str">
        <x:v>KIT-0021</x:v>
      </x:c>
      <x:c r="B244" s="54" t="str">
        <x:v>ASM-0023</x:v>
      </x:c>
      <x:c r="C244" s="63" t="n">
        <x:v>1</x:v>
      </x:c>
      <x:c r="D244" s="54" t="b">
        <x:f>COUNTIF('Inventory'!$A$4:$A$431,A244)=1</x:f>
        <x:v>1</x:v>
      </x:c>
      <x:c r="E244" s="54" t="b">
        <x:f>COUNTIF('Inventory'!$A$4:$A$431,B244)=1</x:f>
        <x:v>1</x:v>
      </x:c>
      <x:c r="F244" s="54" t="b">
        <x:f>A244=B244</x:f>
        <x:v>0</x:v>
      </x:c>
      <x:c r="G244" s="54" t="str">
        <x:f>IF(AND(D244,E244,NOT(F244),C244&gt;0),"OK","CHECK")</x:f>
        <x:v>OK</x:v>
      </x:c>
    </x:row>
    <x:row r="245">
      <x:c r="A245" s="54" t="str">
        <x:v>KIT-0021</x:v>
      </x:c>
      <x:c r="B245" s="54" t="str">
        <x:v>PRT-0096</x:v>
      </x:c>
      <x:c r="C245" s="63" t="n">
        <x:v>1</x:v>
      </x:c>
      <x:c r="D245" s="54" t="b">
        <x:f>COUNTIF('Inventory'!$A$4:$A$431,A245)=1</x:f>
        <x:v>1</x:v>
      </x:c>
      <x:c r="E245" s="54" t="b">
        <x:f>COUNTIF('Inventory'!$A$4:$A$431,B245)=1</x:f>
        <x:v>1</x:v>
      </x:c>
      <x:c r="F245" s="54" t="b">
        <x:f>A245=B245</x:f>
        <x:v>0</x:v>
      </x:c>
      <x:c r="G245" s="54" t="str">
        <x:f>IF(AND(D245,E245,NOT(F245),C245&gt;0),"OK","CHECK")</x:f>
        <x:v>OK</x:v>
      </x:c>
    </x:row>
    <x:row r="246">
      <x:c r="A246" s="54" t="str">
        <x:v>KIT-0021</x:v>
      </x:c>
      <x:c r="B246" s="54" t="str">
        <x:v>LBL-0005</x:v>
      </x:c>
      <x:c r="C246" s="63" t="n">
        <x:v>1</x:v>
      </x:c>
      <x:c r="D246" s="54" t="b">
        <x:f>COUNTIF('Inventory'!$A$4:$A$431,A246)=1</x:f>
        <x:v>1</x:v>
      </x:c>
      <x:c r="E246" s="54" t="b">
        <x:f>COUNTIF('Inventory'!$A$4:$A$431,B246)=1</x:f>
        <x:v>1</x:v>
      </x:c>
      <x:c r="F246" s="54" t="b">
        <x:f>A246=B246</x:f>
        <x:v>0</x:v>
      </x:c>
      <x:c r="G246" s="54" t="str">
        <x:f>IF(AND(D246,E246,NOT(F246),C246&gt;0),"OK","CHECK")</x:f>
        <x:v>OK</x:v>
      </x:c>
    </x:row>
    <x:row r="247">
      <x:c r="A247" s="54" t="str">
        <x:v>KIT-0022</x:v>
      </x:c>
      <x:c r="B247" s="54" t="str">
        <x:v>PRT-0090</x:v>
      </x:c>
      <x:c r="C247" s="63" t="n">
        <x:v>1</x:v>
      </x:c>
      <x:c r="D247" s="54" t="b">
        <x:f>COUNTIF('Inventory'!$A$4:$A$431,A247)=1</x:f>
        <x:v>1</x:v>
      </x:c>
      <x:c r="E247" s="54" t="b">
        <x:f>COUNTIF('Inventory'!$A$4:$A$431,B247)=1</x:f>
        <x:v>1</x:v>
      </x:c>
      <x:c r="F247" s="54" t="b">
        <x:f>A247=B247</x:f>
        <x:v>0</x:v>
      </x:c>
      <x:c r="G247" s="54" t="str">
        <x:f>IF(AND(D247,E247,NOT(F247),C247&gt;0),"OK","CHECK")</x:f>
        <x:v>OK</x:v>
      </x:c>
    </x:row>
    <x:row r="248">
      <x:c r="A248" s="54" t="str">
        <x:v>KIT-0022</x:v>
      </x:c>
      <x:c r="B248" s="54" t="str">
        <x:v>PRT-0094</x:v>
      </x:c>
      <x:c r="C248" s="63" t="n">
        <x:v>1</x:v>
      </x:c>
      <x:c r="D248" s="54" t="b">
        <x:f>COUNTIF('Inventory'!$A$4:$A$431,A248)=1</x:f>
        <x:v>1</x:v>
      </x:c>
      <x:c r="E248" s="54" t="b">
        <x:f>COUNTIF('Inventory'!$A$4:$A$431,B248)=1</x:f>
        <x:v>1</x:v>
      </x:c>
      <x:c r="F248" s="54" t="b">
        <x:f>A248=B248</x:f>
        <x:v>0</x:v>
      </x:c>
      <x:c r="G248" s="54" t="str">
        <x:f>IF(AND(D248,E248,NOT(F248),C248&gt;0),"OK","CHECK")</x:f>
        <x:v>OK</x:v>
      </x:c>
    </x:row>
    <x:row r="249">
      <x:c r="A249" s="54" t="str">
        <x:v>KIT-0022</x:v>
      </x:c>
      <x:c r="B249" s="54" t="str">
        <x:v>ASM-0023</x:v>
      </x:c>
      <x:c r="C249" s="63" t="n">
        <x:v>1</x:v>
      </x:c>
      <x:c r="D249" s="54" t="b">
        <x:f>COUNTIF('Inventory'!$A$4:$A$431,A249)=1</x:f>
        <x:v>1</x:v>
      </x:c>
      <x:c r="E249" s="54" t="b">
        <x:f>COUNTIF('Inventory'!$A$4:$A$431,B249)=1</x:f>
        <x:v>1</x:v>
      </x:c>
      <x:c r="F249" s="54" t="b">
        <x:f>A249=B249</x:f>
        <x:v>0</x:v>
      </x:c>
      <x:c r="G249" s="54" t="str">
        <x:f>IF(AND(D249,E249,NOT(F249),C249&gt;0),"OK","CHECK")</x:f>
        <x:v>OK</x:v>
      </x:c>
    </x:row>
    <x:row r="250">
      <x:c r="A250" s="54" t="str">
        <x:v>KIT-0022</x:v>
      </x:c>
      <x:c r="B250" s="54" t="str">
        <x:v>PRT-0096</x:v>
      </x:c>
      <x:c r="C250" s="63" t="n">
        <x:v>1</x:v>
      </x:c>
      <x:c r="D250" s="54" t="b">
        <x:f>COUNTIF('Inventory'!$A$4:$A$431,A250)=1</x:f>
        <x:v>1</x:v>
      </x:c>
      <x:c r="E250" s="54" t="b">
        <x:f>COUNTIF('Inventory'!$A$4:$A$431,B250)=1</x:f>
        <x:v>1</x:v>
      </x:c>
      <x:c r="F250" s="54" t="b">
        <x:f>A250=B250</x:f>
        <x:v>0</x:v>
      </x:c>
      <x:c r="G250" s="54" t="str">
        <x:f>IF(AND(D250,E250,NOT(F250),C250&gt;0),"OK","CHECK")</x:f>
        <x:v>OK</x:v>
      </x:c>
    </x:row>
    <x:row r="251">
      <x:c r="A251" s="54" t="str">
        <x:v>KIT-0022</x:v>
      </x:c>
      <x:c r="B251" s="54" t="str">
        <x:v>LBL-0005</x:v>
      </x:c>
      <x:c r="C251" s="63" t="n">
        <x:v>1</x:v>
      </x:c>
      <x:c r="D251" s="54" t="b">
        <x:f>COUNTIF('Inventory'!$A$4:$A$431,A251)=1</x:f>
        <x:v>1</x:v>
      </x:c>
      <x:c r="E251" s="54" t="b">
        <x:f>COUNTIF('Inventory'!$A$4:$A$431,B251)=1</x:f>
        <x:v>1</x:v>
      </x:c>
      <x:c r="F251" s="54" t="b">
        <x:f>A251=B251</x:f>
        <x:v>0</x:v>
      </x:c>
      <x:c r="G251" s="54" t="str">
        <x:f>IF(AND(D251,E251,NOT(F251),C251&gt;0),"OK","CHECK")</x:f>
        <x:v>OK</x:v>
      </x:c>
    </x:row>
    <x:row r="252">
      <x:c r="A252" s="54" t="str">
        <x:v>KIT-0023</x:v>
      </x:c>
      <x:c r="B252" s="54" t="str">
        <x:v>PRT-0091</x:v>
      </x:c>
      <x:c r="C252" s="63" t="n">
        <x:v>1</x:v>
      </x:c>
      <x:c r="D252" s="54" t="b">
        <x:f>COUNTIF('Inventory'!$A$4:$A$431,A252)=1</x:f>
        <x:v>1</x:v>
      </x:c>
      <x:c r="E252" s="54" t="b">
        <x:f>COUNTIF('Inventory'!$A$4:$A$431,B252)=1</x:f>
        <x:v>1</x:v>
      </x:c>
      <x:c r="F252" s="54" t="b">
        <x:f>A252=B252</x:f>
        <x:v>0</x:v>
      </x:c>
      <x:c r="G252" s="54" t="str">
        <x:f>IF(AND(D252,E252,NOT(F252),C252&gt;0),"OK","CHECK")</x:f>
        <x:v>OK</x:v>
      </x:c>
    </x:row>
    <x:row r="253">
      <x:c r="A253" s="54" t="str">
        <x:v>KIT-0023</x:v>
      </x:c>
      <x:c r="B253" s="54" t="str">
        <x:v>PRT-0095</x:v>
      </x:c>
      <x:c r="C253" s="63" t="n">
        <x:v>1</x:v>
      </x:c>
      <x:c r="D253" s="54" t="b">
        <x:f>COUNTIF('Inventory'!$A$4:$A$431,A253)=1</x:f>
        <x:v>1</x:v>
      </x:c>
      <x:c r="E253" s="54" t="b">
        <x:f>COUNTIF('Inventory'!$A$4:$A$431,B253)=1</x:f>
        <x:v>1</x:v>
      </x:c>
      <x:c r="F253" s="54" t="b">
        <x:f>A253=B253</x:f>
        <x:v>0</x:v>
      </x:c>
      <x:c r="G253" s="54" t="str">
        <x:f>IF(AND(D253,E253,NOT(F253),C253&gt;0),"OK","CHECK")</x:f>
        <x:v>OK</x:v>
      </x:c>
    </x:row>
    <x:row r="254">
      <x:c r="A254" s="54" t="str">
        <x:v>KIT-0023</x:v>
      </x:c>
      <x:c r="B254" s="54" t="str">
        <x:v>ASM-0023</x:v>
      </x:c>
      <x:c r="C254" s="63" t="n">
        <x:v>1</x:v>
      </x:c>
      <x:c r="D254" s="54" t="b">
        <x:f>COUNTIF('Inventory'!$A$4:$A$431,A254)=1</x:f>
        <x:v>1</x:v>
      </x:c>
      <x:c r="E254" s="54" t="b">
        <x:f>COUNTIF('Inventory'!$A$4:$A$431,B254)=1</x:f>
        <x:v>1</x:v>
      </x:c>
      <x:c r="F254" s="54" t="b">
        <x:f>A254=B254</x:f>
        <x:v>0</x:v>
      </x:c>
      <x:c r="G254" s="54" t="str">
        <x:f>IF(AND(D254,E254,NOT(F254),C254&gt;0),"OK","CHECK")</x:f>
        <x:v>OK</x:v>
      </x:c>
    </x:row>
    <x:row r="255">
      <x:c r="A255" s="54" t="str">
        <x:v>KIT-0023</x:v>
      </x:c>
      <x:c r="B255" s="54" t="str">
        <x:v>PRT-0096</x:v>
      </x:c>
      <x:c r="C255" s="63" t="n">
        <x:v>1</x:v>
      </x:c>
      <x:c r="D255" s="54" t="b">
        <x:f>COUNTIF('Inventory'!$A$4:$A$431,A255)=1</x:f>
        <x:v>1</x:v>
      </x:c>
      <x:c r="E255" s="54" t="b">
        <x:f>COUNTIF('Inventory'!$A$4:$A$431,B255)=1</x:f>
        <x:v>1</x:v>
      </x:c>
      <x:c r="F255" s="54" t="b">
        <x:f>A255=B255</x:f>
        <x:v>0</x:v>
      </x:c>
      <x:c r="G255" s="54" t="str">
        <x:f>IF(AND(D255,E255,NOT(F255),C255&gt;0),"OK","CHECK")</x:f>
        <x:v>OK</x:v>
      </x:c>
    </x:row>
    <x:row r="256">
      <x:c r="A256" s="54" t="str">
        <x:v>OFT-0012</x:v>
      </x:c>
      <x:c r="B256" s="54" t="str">
        <x:v>PRT-0097</x:v>
      </x:c>
      <x:c r="C256" s="63" t="n">
        <x:v>8</x:v>
      </x:c>
      <x:c r="D256" s="54" t="b">
        <x:f>COUNTIF('Inventory'!$A$4:$A$431,A256)=1</x:f>
        <x:v>1</x:v>
      </x:c>
      <x:c r="E256" s="54" t="b">
        <x:f>COUNTIF('Inventory'!$A$4:$A$431,B256)=1</x:f>
        <x:v>1</x:v>
      </x:c>
      <x:c r="F256" s="54" t="b">
        <x:f>A256=B256</x:f>
        <x:v>0</x:v>
      </x:c>
      <x:c r="G256" s="54" t="str">
        <x:f>IF(AND(D256,E256,NOT(F256),C256&gt;0),"OK","CHECK")</x:f>
        <x:v>OK</x:v>
      </x:c>
    </x:row>
    <x:row r="257">
      <x:c r="A257" s="54" t="str">
        <x:v>OFT-0012</x:v>
      </x:c>
      <x:c r="B257" s="54" t="str">
        <x:v>PRT-0098</x:v>
      </x:c>
      <x:c r="C257" s="63" t="n">
        <x:v>12</x:v>
      </x:c>
      <x:c r="D257" s="54" t="b">
        <x:f>COUNTIF('Inventory'!$A$4:$A$431,A257)=1</x:f>
        <x:v>1</x:v>
      </x:c>
      <x:c r="E257" s="54" t="b">
        <x:f>COUNTIF('Inventory'!$A$4:$A$431,B257)=1</x:f>
        <x:v>1</x:v>
      </x:c>
      <x:c r="F257" s="54" t="b">
        <x:f>A257=B257</x:f>
        <x:v>0</x:v>
      </x:c>
      <x:c r="G257" s="54" t="str">
        <x:f>IF(AND(D257,E257,NOT(F257),C257&gt;0),"OK","CHECK")</x:f>
        <x:v>OK</x:v>
      </x:c>
    </x:row>
    <x:row r="258">
      <x:c r="A258" s="54" t="str">
        <x:v>QAR-0006</x:v>
      </x:c>
      <x:c r="B258" s="54" t="str">
        <x:v>OFT-0013</x:v>
      </x:c>
      <x:c r="C258" s="63" t="n">
        <x:v>1</x:v>
      </x:c>
      <x:c r="D258" s="54" t="b">
        <x:f>COUNTIF('Inventory'!$A$4:$A$431,A258)=1</x:f>
        <x:v>1</x:v>
      </x:c>
      <x:c r="E258" s="54" t="b">
        <x:f>COUNTIF('Inventory'!$A$4:$A$431,B258)=1</x:f>
        <x:v>1</x:v>
      </x:c>
      <x:c r="F258" s="54" t="b">
        <x:f>A258=B258</x:f>
        <x:v>0</x:v>
      </x:c>
      <x:c r="G258" s="54" t="str">
        <x:f>IF(AND(D258,E258,NOT(F258),C258&gt;0),"OK","CHECK")</x:f>
        <x:v>OK</x:v>
      </x:c>
    </x:row>
    <x:row r="259">
      <x:c r="A259" s="54" t="str">
        <x:v>QAR-0006</x:v>
      </x:c>
      <x:c r="B259" s="54" t="str">
        <x:v>OFT-0014</x:v>
      </x:c>
      <x:c r="C259" s="63" t="n">
        <x:v>1</x:v>
      </x:c>
      <x:c r="D259" s="54" t="b">
        <x:f>COUNTIF('Inventory'!$A$4:$A$431,A259)=1</x:f>
        <x:v>1</x:v>
      </x:c>
      <x:c r="E259" s="54" t="b">
        <x:f>COUNTIF('Inventory'!$A$4:$A$431,B259)=1</x:f>
        <x:v>1</x:v>
      </x:c>
      <x:c r="F259" s="54" t="b">
        <x:f>A259=B259</x:f>
        <x:v>0</x:v>
      </x:c>
      <x:c r="G259" s="54" t="str">
        <x:f>IF(AND(D259,E259,NOT(F259),C259&gt;0),"OK","CHECK")</x:f>
        <x:v>OK</x:v>
      </x:c>
    </x:row>
    <x:row r="260">
      <x:c r="A260" s="54" t="str">
        <x:v>QAR-0006</x:v>
      </x:c>
      <x:c r="B260" s="54" t="str">
        <x:v>OFT-0015</x:v>
      </x:c>
      <x:c r="C260" s="63" t="n">
        <x:v>1</x:v>
      </x:c>
      <x:c r="D260" s="54" t="b">
        <x:f>COUNTIF('Inventory'!$A$4:$A$431,A260)=1</x:f>
        <x:v>1</x:v>
      </x:c>
      <x:c r="E260" s="54" t="b">
        <x:f>COUNTIF('Inventory'!$A$4:$A$431,B260)=1</x:f>
        <x:v>1</x:v>
      </x:c>
      <x:c r="F260" s="54" t="b">
        <x:f>A260=B260</x:f>
        <x:v>0</x:v>
      </x:c>
      <x:c r="G260" s="54" t="str">
        <x:f>IF(AND(D260,E260,NOT(F260),C260&gt;0),"OK","CHECK")</x:f>
        <x:v>OK</x:v>
      </x:c>
    </x:row>
    <x:row r="261">
      <x:c r="A261" s="54" t="str">
        <x:v>OFT-0013</x:v>
      </x:c>
      <x:c r="B261" s="54" t="str">
        <x:v>ASM-0024</x:v>
      </x:c>
      <x:c r="C261" s="63" t="n">
        <x:v>1</x:v>
      </x:c>
      <x:c r="D261" s="54" t="b">
        <x:f>COUNTIF('Inventory'!$A$4:$A$431,A261)=1</x:f>
        <x:v>1</x:v>
      </x:c>
      <x:c r="E261" s="54" t="b">
        <x:f>COUNTIF('Inventory'!$A$4:$A$431,B261)=1</x:f>
        <x:v>1</x:v>
      </x:c>
      <x:c r="F261" s="54" t="b">
        <x:f>A261=B261</x:f>
        <x:v>0</x:v>
      </x:c>
      <x:c r="G261" s="54" t="str">
        <x:f>IF(AND(D261,E261,NOT(F261),C261&gt;0),"OK","CHECK")</x:f>
        <x:v>OK</x:v>
      </x:c>
    </x:row>
    <x:row r="262">
      <x:c r="A262" s="54" t="str">
        <x:v>OFT-0013</x:v>
      </x:c>
      <x:c r="B262" s="54" t="str">
        <x:v>PRT-0099</x:v>
      </x:c>
      <x:c r="C262" s="63" t="n">
        <x:v>12</x:v>
      </x:c>
      <x:c r="D262" s="54" t="b">
        <x:f>COUNTIF('Inventory'!$A$4:$A$431,A262)=1</x:f>
        <x:v>1</x:v>
      </x:c>
      <x:c r="E262" s="54" t="b">
        <x:f>COUNTIF('Inventory'!$A$4:$A$431,B262)=1</x:f>
        <x:v>1</x:v>
      </x:c>
      <x:c r="F262" s="54" t="b">
        <x:f>A262=B262</x:f>
        <x:v>0</x:v>
      </x:c>
      <x:c r="G262" s="54" t="str">
        <x:f>IF(AND(D262,E262,NOT(F262),C262&gt;0),"OK","CHECK")</x:f>
        <x:v>OK</x:v>
      </x:c>
    </x:row>
    <x:row r="263">
      <x:c r="A263" s="54" t="str">
        <x:v>OFT-0013</x:v>
      </x:c>
      <x:c r="B263" s="54" t="str">
        <x:v>ASM-0027</x:v>
      </x:c>
      <x:c r="C263" s="63" t="n">
        <x:v>1</x:v>
      </x:c>
      <x:c r="D263" s="54" t="b">
        <x:f>COUNTIF('Inventory'!$A$4:$A$431,A263)=1</x:f>
        <x:v>1</x:v>
      </x:c>
      <x:c r="E263" s="54" t="b">
        <x:f>COUNTIF('Inventory'!$A$4:$A$431,B263)=1</x:f>
        <x:v>1</x:v>
      </x:c>
      <x:c r="F263" s="54" t="b">
        <x:f>A263=B263</x:f>
        <x:v>0</x:v>
      </x:c>
      <x:c r="G263" s="54" t="str">
        <x:f>IF(AND(D263,E263,NOT(F263),C263&gt;0),"OK","CHECK")</x:f>
        <x:v>OK</x:v>
      </x:c>
    </x:row>
    <x:row r="264">
      <x:c r="A264" s="54" t="str">
        <x:v>OFT-0013</x:v>
      </x:c>
      <x:c r="B264" s="54" t="str">
        <x:v>ASM-0028</x:v>
      </x:c>
      <x:c r="C264" s="63" t="n">
        <x:v>1</x:v>
      </x:c>
      <x:c r="D264" s="54" t="b">
        <x:f>COUNTIF('Inventory'!$A$4:$A$431,A264)=1</x:f>
        <x:v>1</x:v>
      </x:c>
      <x:c r="E264" s="54" t="b">
        <x:f>COUNTIF('Inventory'!$A$4:$A$431,B264)=1</x:f>
        <x:v>1</x:v>
      </x:c>
      <x:c r="F264" s="54" t="b">
        <x:f>A264=B264</x:f>
        <x:v>0</x:v>
      </x:c>
      <x:c r="G264" s="54" t="str">
        <x:f>IF(AND(D264,E264,NOT(F264),C264&gt;0),"OK","CHECK")</x:f>
        <x:v>OK</x:v>
      </x:c>
    </x:row>
    <x:row r="265">
      <x:c r="A265" s="54" t="str">
        <x:v>OFT-0013</x:v>
      </x:c>
      <x:c r="B265" s="54" t="str">
        <x:v>ASM-0029</x:v>
      </x:c>
      <x:c r="C265" s="63" t="n">
        <x:v>1</x:v>
      </x:c>
      <x:c r="D265" s="54" t="b">
        <x:f>COUNTIF('Inventory'!$A$4:$A$431,A265)=1</x:f>
        <x:v>1</x:v>
      </x:c>
      <x:c r="E265" s="54" t="b">
        <x:f>COUNTIF('Inventory'!$A$4:$A$431,B265)=1</x:f>
        <x:v>1</x:v>
      </x:c>
      <x:c r="F265" s="54" t="b">
        <x:f>A265=B265</x:f>
        <x:v>0</x:v>
      </x:c>
      <x:c r="G265" s="54" t="str">
        <x:f>IF(AND(D265,E265,NOT(F265),C265&gt;0),"OK","CHECK")</x:f>
        <x:v>OK</x:v>
      </x:c>
    </x:row>
    <x:row r="266">
      <x:c r="A266" s="54" t="str">
        <x:v>OFT-0013</x:v>
      </x:c>
      <x:c r="B266" s="54" t="str">
        <x:v>ASM-0030</x:v>
      </x:c>
      <x:c r="C266" s="63" t="n">
        <x:v>1</x:v>
      </x:c>
      <x:c r="D266" s="54" t="b">
        <x:f>COUNTIF('Inventory'!$A$4:$A$431,A266)=1</x:f>
        <x:v>1</x:v>
      </x:c>
      <x:c r="E266" s="54" t="b">
        <x:f>COUNTIF('Inventory'!$A$4:$A$431,B266)=1</x:f>
        <x:v>1</x:v>
      </x:c>
      <x:c r="F266" s="54" t="b">
        <x:f>A266=B266</x:f>
        <x:v>0</x:v>
      </x:c>
      <x:c r="G266" s="54" t="str">
        <x:f>IF(AND(D266,E266,NOT(F266),C266&gt;0),"OK","CHECK")</x:f>
        <x:v>OK</x:v>
      </x:c>
    </x:row>
    <x:row r="267">
      <x:c r="A267" s="54" t="str">
        <x:v>OFT-0013</x:v>
      </x:c>
      <x:c r="B267" s="54" t="str">
        <x:v>PRT-0101</x:v>
      </x:c>
      <x:c r="C267" s="63" t="n">
        <x:v>2</x:v>
      </x:c>
      <x:c r="D267" s="54" t="b">
        <x:f>COUNTIF('Inventory'!$A$4:$A$431,A267)=1</x:f>
        <x:v>1</x:v>
      </x:c>
      <x:c r="E267" s="54" t="b">
        <x:f>COUNTIF('Inventory'!$A$4:$A$431,B267)=1</x:f>
        <x:v>1</x:v>
      </x:c>
      <x:c r="F267" s="54" t="b">
        <x:f>A267=B267</x:f>
        <x:v>0</x:v>
      </x:c>
      <x:c r="G267" s="54" t="str">
        <x:f>IF(AND(D267,E267,NOT(F267),C267&gt;0),"OK","CHECK")</x:f>
        <x:v>OK</x:v>
      </x:c>
    </x:row>
    <x:row r="268">
      <x:c r="A268" s="54" t="str">
        <x:v>OFT-0013</x:v>
      </x:c>
      <x:c r="B268" s="54" t="str">
        <x:v>PRT-0102</x:v>
      </x:c>
      <x:c r="C268" s="63" t="n">
        <x:v>2</x:v>
      </x:c>
      <x:c r="D268" s="54" t="b">
        <x:f>COUNTIF('Inventory'!$A$4:$A$431,A268)=1</x:f>
        <x:v>1</x:v>
      </x:c>
      <x:c r="E268" s="54" t="b">
        <x:f>COUNTIF('Inventory'!$A$4:$A$431,B268)=1</x:f>
        <x:v>1</x:v>
      </x:c>
      <x:c r="F268" s="54" t="b">
        <x:f>A268=B268</x:f>
        <x:v>0</x:v>
      </x:c>
      <x:c r="G268" s="54" t="str">
        <x:f>IF(AND(D268,E268,NOT(F268),C268&gt;0),"OK","CHECK")</x:f>
        <x:v>OK</x:v>
      </x:c>
    </x:row>
    <x:row r="269">
      <x:c r="A269" s="54" t="str">
        <x:v>OFT-0013</x:v>
      </x:c>
      <x:c r="B269" s="54" t="str">
        <x:v>PKG-0005</x:v>
      </x:c>
      <x:c r="C269" s="63" t="n">
        <x:v>2</x:v>
      </x:c>
      <x:c r="D269" s="54" t="b">
        <x:f>COUNTIF('Inventory'!$A$4:$A$431,A269)=1</x:f>
        <x:v>1</x:v>
      </x:c>
      <x:c r="E269" s="54" t="b">
        <x:f>COUNTIF('Inventory'!$A$4:$A$431,B269)=1</x:f>
        <x:v>1</x:v>
      </x:c>
      <x:c r="F269" s="54" t="b">
        <x:f>A269=B269</x:f>
        <x:v>0</x:v>
      </x:c>
      <x:c r="G269" s="54" t="str">
        <x:f>IF(AND(D269,E269,NOT(F269),C269&gt;0),"OK","CHECK")</x:f>
        <x:v>OK</x:v>
      </x:c>
    </x:row>
    <x:row r="270">
      <x:c r="A270" s="54" t="str">
        <x:v>OFT-0013</x:v>
      </x:c>
      <x:c r="B270" s="54" t="str">
        <x:v>KIT-0024</x:v>
      </x:c>
      <x:c r="C270" s="63" t="n">
        <x:v>1</x:v>
      </x:c>
      <x:c r="D270" s="54" t="b">
        <x:f>COUNTIF('Inventory'!$A$4:$A$431,A270)=1</x:f>
        <x:v>1</x:v>
      </x:c>
      <x:c r="E270" s="54" t="b">
        <x:f>COUNTIF('Inventory'!$A$4:$A$431,B270)=1</x:f>
        <x:v>1</x:v>
      </x:c>
      <x:c r="F270" s="54" t="b">
        <x:f>A270=B270</x:f>
        <x:v>0</x:v>
      </x:c>
      <x:c r="G270" s="54" t="str">
        <x:f>IF(AND(D270,E270,NOT(F270),C270&gt;0),"OK","CHECK")</x:f>
        <x:v>OK</x:v>
      </x:c>
    </x:row>
    <x:row r="271">
      <x:c r="A271" s="54" t="str">
        <x:v>OFT-0014</x:v>
      </x:c>
      <x:c r="B271" s="54" t="str">
        <x:v>ASM-0025</x:v>
      </x:c>
      <x:c r="C271" s="63" t="n">
        <x:v>1</x:v>
      </x:c>
      <x:c r="D271" s="54" t="b">
        <x:f>COUNTIF('Inventory'!$A$4:$A$431,A271)=1</x:f>
        <x:v>1</x:v>
      </x:c>
      <x:c r="E271" s="54" t="b">
        <x:f>COUNTIF('Inventory'!$A$4:$A$431,B271)=1</x:f>
        <x:v>1</x:v>
      </x:c>
      <x:c r="F271" s="54" t="b">
        <x:f>A271=B271</x:f>
        <x:v>0</x:v>
      </x:c>
      <x:c r="G271" s="54" t="str">
        <x:f>IF(AND(D271,E271,NOT(F271),C271&gt;0),"OK","CHECK")</x:f>
        <x:v>OK</x:v>
      </x:c>
    </x:row>
    <x:row r="272">
      <x:c r="A272" s="54" t="str">
        <x:v>OFT-0014</x:v>
      </x:c>
      <x:c r="B272" s="54" t="str">
        <x:v>PRT-0100</x:v>
      </x:c>
      <x:c r="C272" s="63" t="n">
        <x:v>8</x:v>
      </x:c>
      <x:c r="D272" s="54" t="b">
        <x:f>COUNTIF('Inventory'!$A$4:$A$431,A272)=1</x:f>
        <x:v>1</x:v>
      </x:c>
      <x:c r="E272" s="54" t="b">
        <x:f>COUNTIF('Inventory'!$A$4:$A$431,B272)=1</x:f>
        <x:v>1</x:v>
      </x:c>
      <x:c r="F272" s="54" t="b">
        <x:f>A272=B272</x:f>
        <x:v>0</x:v>
      </x:c>
      <x:c r="G272" s="54" t="str">
        <x:f>IF(AND(D272,E272,NOT(F272),C272&gt;0),"OK","CHECK")</x:f>
        <x:v>OK</x:v>
      </x:c>
    </x:row>
    <x:row r="273">
      <x:c r="A273" s="54" t="str">
        <x:v>OFT-0014</x:v>
      </x:c>
      <x:c r="B273" s="54" t="str">
        <x:v>ASM-0027</x:v>
      </x:c>
      <x:c r="C273" s="63" t="n">
        <x:v>1</x:v>
      </x:c>
      <x:c r="D273" s="54" t="b">
        <x:f>COUNTIF('Inventory'!$A$4:$A$431,A273)=1</x:f>
        <x:v>1</x:v>
      </x:c>
      <x:c r="E273" s="54" t="b">
        <x:f>COUNTIF('Inventory'!$A$4:$A$431,B273)=1</x:f>
        <x:v>1</x:v>
      </x:c>
      <x:c r="F273" s="54" t="b">
        <x:f>A273=B273</x:f>
        <x:v>0</x:v>
      </x:c>
      <x:c r="G273" s="54" t="str">
        <x:f>IF(AND(D273,E273,NOT(F273),C273&gt;0),"OK","CHECK")</x:f>
        <x:v>OK</x:v>
      </x:c>
    </x:row>
    <x:row r="274">
      <x:c r="A274" s="54" t="str">
        <x:v>OFT-0014</x:v>
      </x:c>
      <x:c r="B274" s="54" t="str">
        <x:v>ASM-0028</x:v>
      </x:c>
      <x:c r="C274" s="63" t="n">
        <x:v>1</x:v>
      </x:c>
      <x:c r="D274" s="54" t="b">
        <x:f>COUNTIF('Inventory'!$A$4:$A$431,A274)=1</x:f>
        <x:v>1</x:v>
      </x:c>
      <x:c r="E274" s="54" t="b">
        <x:f>COUNTIF('Inventory'!$A$4:$A$431,B274)=1</x:f>
        <x:v>1</x:v>
      </x:c>
      <x:c r="F274" s="54" t="b">
        <x:f>A274=B274</x:f>
        <x:v>0</x:v>
      </x:c>
      <x:c r="G274" s="54" t="str">
        <x:f>IF(AND(D274,E274,NOT(F274),C274&gt;0),"OK","CHECK")</x:f>
        <x:v>OK</x:v>
      </x:c>
    </x:row>
    <x:row r="275">
      <x:c r="A275" s="54" t="str">
        <x:v>OFT-0014</x:v>
      </x:c>
      <x:c r="B275" s="54" t="str">
        <x:v>ASM-0029</x:v>
      </x:c>
      <x:c r="C275" s="63" t="n">
        <x:v>1</x:v>
      </x:c>
      <x:c r="D275" s="54" t="b">
        <x:f>COUNTIF('Inventory'!$A$4:$A$431,A275)=1</x:f>
        <x:v>1</x:v>
      </x:c>
      <x:c r="E275" s="54" t="b">
        <x:f>COUNTIF('Inventory'!$A$4:$A$431,B275)=1</x:f>
        <x:v>1</x:v>
      </x:c>
      <x:c r="F275" s="54" t="b">
        <x:f>A275=B275</x:f>
        <x:v>0</x:v>
      </x:c>
      <x:c r="G275" s="54" t="str">
        <x:f>IF(AND(D275,E275,NOT(F275),C275&gt;0),"OK","CHECK")</x:f>
        <x:v>OK</x:v>
      </x:c>
    </x:row>
    <x:row r="276">
      <x:c r="A276" s="54" t="str">
        <x:v>OFT-0014</x:v>
      </x:c>
      <x:c r="B276" s="54" t="str">
        <x:v>ASM-0030</x:v>
      </x:c>
      <x:c r="C276" s="63" t="n">
        <x:v>1</x:v>
      </x:c>
      <x:c r="D276" s="54" t="b">
        <x:f>COUNTIF('Inventory'!$A$4:$A$431,A276)=1</x:f>
        <x:v>1</x:v>
      </x:c>
      <x:c r="E276" s="54" t="b">
        <x:f>COUNTIF('Inventory'!$A$4:$A$431,B276)=1</x:f>
        <x:v>1</x:v>
      </x:c>
      <x:c r="F276" s="54" t="b">
        <x:f>A276=B276</x:f>
        <x:v>0</x:v>
      </x:c>
      <x:c r="G276" s="54" t="str">
        <x:f>IF(AND(D276,E276,NOT(F276),C276&gt;0),"OK","CHECK")</x:f>
        <x:v>OK</x:v>
      </x:c>
    </x:row>
    <x:row r="277">
      <x:c r="A277" s="54" t="str">
        <x:v>OFT-0014</x:v>
      </x:c>
      <x:c r="B277" s="54" t="str">
        <x:v>PRT-0101</x:v>
      </x:c>
      <x:c r="C277" s="63" t="n">
        <x:v>2</x:v>
      </x:c>
      <x:c r="D277" s="54" t="b">
        <x:f>COUNTIF('Inventory'!$A$4:$A$431,A277)=1</x:f>
        <x:v>1</x:v>
      </x:c>
      <x:c r="E277" s="54" t="b">
        <x:f>COUNTIF('Inventory'!$A$4:$A$431,B277)=1</x:f>
        <x:v>1</x:v>
      </x:c>
      <x:c r="F277" s="54" t="b">
        <x:f>A277=B277</x:f>
        <x:v>0</x:v>
      </x:c>
      <x:c r="G277" s="54" t="str">
        <x:f>IF(AND(D277,E277,NOT(F277),C277&gt;0),"OK","CHECK")</x:f>
        <x:v>OK</x:v>
      </x:c>
    </x:row>
    <x:row r="278">
      <x:c r="A278" s="54" t="str">
        <x:v>OFT-0014</x:v>
      </x:c>
      <x:c r="B278" s="54" t="str">
        <x:v>PRT-0102</x:v>
      </x:c>
      <x:c r="C278" s="63" t="n">
        <x:v>2</x:v>
      </x:c>
      <x:c r="D278" s="54" t="b">
        <x:f>COUNTIF('Inventory'!$A$4:$A$431,A278)=1</x:f>
        <x:v>1</x:v>
      </x:c>
      <x:c r="E278" s="54" t="b">
        <x:f>COUNTIF('Inventory'!$A$4:$A$431,B278)=1</x:f>
        <x:v>1</x:v>
      </x:c>
      <x:c r="F278" s="54" t="b">
        <x:f>A278=B278</x:f>
        <x:v>0</x:v>
      </x:c>
      <x:c r="G278" s="54" t="str">
        <x:f>IF(AND(D278,E278,NOT(F278),C278&gt;0),"OK","CHECK")</x:f>
        <x:v>OK</x:v>
      </x:c>
    </x:row>
    <x:row r="279">
      <x:c r="A279" s="54" t="str">
        <x:v>OFT-0014</x:v>
      </x:c>
      <x:c r="B279" s="54" t="str">
        <x:v>PKG-0005</x:v>
      </x:c>
      <x:c r="C279" s="63" t="n">
        <x:v>1</x:v>
      </x:c>
      <x:c r="D279" s="54" t="b">
        <x:f>COUNTIF('Inventory'!$A$4:$A$431,A279)=1</x:f>
        <x:v>1</x:v>
      </x:c>
      <x:c r="E279" s="54" t="b">
        <x:f>COUNTIF('Inventory'!$A$4:$A$431,B279)=1</x:f>
        <x:v>1</x:v>
      </x:c>
      <x:c r="F279" s="54" t="b">
        <x:f>A279=B279</x:f>
        <x:v>0</x:v>
      </x:c>
      <x:c r="G279" s="54" t="str">
        <x:f>IF(AND(D279,E279,NOT(F279),C279&gt;0),"OK","CHECK")</x:f>
        <x:v>OK</x:v>
      </x:c>
    </x:row>
    <x:row r="280">
      <x:c r="A280" s="54" t="str">
        <x:v>OFT-0014</x:v>
      </x:c>
      <x:c r="B280" s="54" t="str">
        <x:v>KIT-0024</x:v>
      </x:c>
      <x:c r="C280" s="63" t="n">
        <x:v>1</x:v>
      </x:c>
      <x:c r="D280" s="54" t="b">
        <x:f>COUNTIF('Inventory'!$A$4:$A$431,A280)=1</x:f>
        <x:v>1</x:v>
      </x:c>
      <x:c r="E280" s="54" t="b">
        <x:f>COUNTIF('Inventory'!$A$4:$A$431,B280)=1</x:f>
        <x:v>1</x:v>
      </x:c>
      <x:c r="F280" s="54" t="b">
        <x:f>A280=B280</x:f>
        <x:v>0</x:v>
      </x:c>
      <x:c r="G280" s="54" t="str">
        <x:f>IF(AND(D280,E280,NOT(F280),C280&gt;0),"OK","CHECK")</x:f>
        <x:v>OK</x:v>
      </x:c>
    </x:row>
    <x:row r="281">
      <x:c r="A281" s="54" t="str">
        <x:v>OFT-0015</x:v>
      </x:c>
      <x:c r="B281" s="54" t="str">
        <x:v>ASM-0026</x:v>
      </x:c>
      <x:c r="C281" s="63" t="n">
        <x:v>1</x:v>
      </x:c>
      <x:c r="D281" s="54" t="b">
        <x:f>COUNTIF('Inventory'!$A$4:$A$431,A281)=1</x:f>
        <x:v>1</x:v>
      </x:c>
      <x:c r="E281" s="54" t="b">
        <x:f>COUNTIF('Inventory'!$A$4:$A$431,B281)=1</x:f>
        <x:v>1</x:v>
      </x:c>
      <x:c r="F281" s="54" t="b">
        <x:f>A281=B281</x:f>
        <x:v>0</x:v>
      </x:c>
      <x:c r="G281" s="54" t="str">
        <x:f>IF(AND(D281,E281,NOT(F281),C281&gt;0),"OK","CHECK")</x:f>
        <x:v>OK</x:v>
      </x:c>
    </x:row>
    <x:row r="282">
      <x:c r="A282" s="54" t="str">
        <x:v>OFT-0015</x:v>
      </x:c>
      <x:c r="B282" s="54" t="str">
        <x:v>PRT-0100</x:v>
      </x:c>
      <x:c r="C282" s="63" t="n">
        <x:v>6</x:v>
      </x:c>
      <x:c r="D282" s="54" t="b">
        <x:f>COUNTIF('Inventory'!$A$4:$A$431,A282)=1</x:f>
        <x:v>1</x:v>
      </x:c>
      <x:c r="E282" s="54" t="b">
        <x:f>COUNTIF('Inventory'!$A$4:$A$431,B282)=1</x:f>
        <x:v>1</x:v>
      </x:c>
      <x:c r="F282" s="54" t="b">
        <x:f>A282=B282</x:f>
        <x:v>0</x:v>
      </x:c>
      <x:c r="G282" s="54" t="str">
        <x:f>IF(AND(D282,E282,NOT(F282),C282&gt;0),"OK","CHECK")</x:f>
        <x:v>OK</x:v>
      </x:c>
    </x:row>
    <x:row r="283">
      <x:c r="A283" s="54" t="str">
        <x:v>OFT-0015</x:v>
      </x:c>
      <x:c r="B283" s="54" t="str">
        <x:v>ASM-0027</x:v>
      </x:c>
      <x:c r="C283" s="63" t="n">
        <x:v>1</x:v>
      </x:c>
      <x:c r="D283" s="54" t="b">
        <x:f>COUNTIF('Inventory'!$A$4:$A$431,A283)=1</x:f>
        <x:v>1</x:v>
      </x:c>
      <x:c r="E283" s="54" t="b">
        <x:f>COUNTIF('Inventory'!$A$4:$A$431,B283)=1</x:f>
        <x:v>1</x:v>
      </x:c>
      <x:c r="F283" s="54" t="b">
        <x:f>A283=B283</x:f>
        <x:v>0</x:v>
      </x:c>
      <x:c r="G283" s="54" t="str">
        <x:f>IF(AND(D283,E283,NOT(F283),C283&gt;0),"OK","CHECK")</x:f>
        <x:v>OK</x:v>
      </x:c>
    </x:row>
    <x:row r="284">
      <x:c r="A284" s="54" t="str">
        <x:v>OFT-0015</x:v>
      </x:c>
      <x:c r="B284" s="54" t="str">
        <x:v>ASM-0030</x:v>
      </x:c>
      <x:c r="C284" s="63" t="n">
        <x:v>1</x:v>
      </x:c>
      <x:c r="D284" s="54" t="b">
        <x:f>COUNTIF('Inventory'!$A$4:$A$431,A284)=1</x:f>
        <x:v>1</x:v>
      </x:c>
      <x:c r="E284" s="54" t="b">
        <x:f>COUNTIF('Inventory'!$A$4:$A$431,B284)=1</x:f>
        <x:v>1</x:v>
      </x:c>
      <x:c r="F284" s="54" t="b">
        <x:f>A284=B284</x:f>
        <x:v>0</x:v>
      </x:c>
      <x:c r="G284" s="54" t="str">
        <x:f>IF(AND(D284,E284,NOT(F284),C284&gt;0),"OK","CHECK")</x:f>
        <x:v>OK</x:v>
      </x:c>
    </x:row>
    <x:row r="285">
      <x:c r="A285" s="54" t="str">
        <x:v>OFT-0015</x:v>
      </x:c>
      <x:c r="B285" s="54" t="str">
        <x:v>PRT-0101</x:v>
      </x:c>
      <x:c r="C285" s="63" t="n">
        <x:v>2</x:v>
      </x:c>
      <x:c r="D285" s="54" t="b">
        <x:f>COUNTIF('Inventory'!$A$4:$A$431,A285)=1</x:f>
        <x:v>1</x:v>
      </x:c>
      <x:c r="E285" s="54" t="b">
        <x:f>COUNTIF('Inventory'!$A$4:$A$431,B285)=1</x:f>
        <x:v>1</x:v>
      </x:c>
      <x:c r="F285" s="54" t="b">
        <x:f>A285=B285</x:f>
        <x:v>0</x:v>
      </x:c>
      <x:c r="G285" s="54" t="str">
        <x:f>IF(AND(D285,E285,NOT(F285),C285&gt;0),"OK","CHECK")</x:f>
        <x:v>OK</x:v>
      </x:c>
    </x:row>
    <x:row r="286">
      <x:c r="A286" s="54" t="str">
        <x:v>OFT-0015</x:v>
      </x:c>
      <x:c r="B286" s="54" t="str">
        <x:v>PRT-0102</x:v>
      </x:c>
      <x:c r="C286" s="63" t="n">
        <x:v>1</x:v>
      </x:c>
      <x:c r="D286" s="54" t="b">
        <x:f>COUNTIF('Inventory'!$A$4:$A$431,A286)=1</x:f>
        <x:v>1</x:v>
      </x:c>
      <x:c r="E286" s="54" t="b">
        <x:f>COUNTIF('Inventory'!$A$4:$A$431,B286)=1</x:f>
        <x:v>1</x:v>
      </x:c>
      <x:c r="F286" s="54" t="b">
        <x:f>A286=B286</x:f>
        <x:v>0</x:v>
      </x:c>
      <x:c r="G286" s="54" t="str">
        <x:f>IF(AND(D286,E286,NOT(F286),C286&gt;0),"OK","CHECK")</x:f>
        <x:v>OK</x:v>
      </x:c>
    </x:row>
    <x:row r="287">
      <x:c r="A287" s="54" t="str">
        <x:v>OFT-0015</x:v>
      </x:c>
      <x:c r="B287" s="54" t="str">
        <x:v>PKG-0005</x:v>
      </x:c>
      <x:c r="C287" s="63" t="n">
        <x:v>1</x:v>
      </x:c>
      <x:c r="D287" s="54" t="b">
        <x:f>COUNTIF('Inventory'!$A$4:$A$431,A287)=1</x:f>
        <x:v>1</x:v>
      </x:c>
      <x:c r="E287" s="54" t="b">
        <x:f>COUNTIF('Inventory'!$A$4:$A$431,B287)=1</x:f>
        <x:v>1</x:v>
      </x:c>
      <x:c r="F287" s="54" t="b">
        <x:f>A287=B287</x:f>
        <x:v>0</x:v>
      </x:c>
      <x:c r="G287" s="54" t="str">
        <x:f>IF(AND(D287,E287,NOT(F287),C287&gt;0),"OK","CHECK")</x:f>
        <x:v>OK</x:v>
      </x:c>
    </x:row>
    <x:row r="288">
      <x:c r="A288" s="54" t="str">
        <x:v>OFT-0015</x:v>
      </x:c>
      <x:c r="B288" s="54" t="str">
        <x:v>KIT-0024</x:v>
      </x:c>
      <x:c r="C288" s="63" t="n">
        <x:v>1</x:v>
      </x:c>
      <x:c r="D288" s="54" t="b">
        <x:f>COUNTIF('Inventory'!$A$4:$A$431,A288)=1</x:f>
        <x:v>1</x:v>
      </x:c>
      <x:c r="E288" s="54" t="b">
        <x:f>COUNTIF('Inventory'!$A$4:$A$431,B288)=1</x:f>
        <x:v>1</x:v>
      </x:c>
      <x:c r="F288" s="54" t="b">
        <x:f>A288=B288</x:f>
        <x:v>0</x:v>
      </x:c>
      <x:c r="G288" s="54" t="str">
        <x:f>IF(AND(D288,E288,NOT(F288),C288&gt;0),"OK","CHECK")</x:f>
        <x:v>OK</x:v>
      </x:c>
    </x:row>
    <x:row r="289">
      <x:c r="A289" s="54" t="str">
        <x:v>QAR-0007</x:v>
      </x:c>
      <x:c r="B289" s="54" t="str">
        <x:v>KIT-0025</x:v>
      </x:c>
      <x:c r="C289" s="63" t="n">
        <x:v>1</x:v>
      </x:c>
      <x:c r="D289" s="54" t="b">
        <x:f>COUNTIF('Inventory'!$A$4:$A$431,A289)=1</x:f>
        <x:v>1</x:v>
      </x:c>
      <x:c r="E289" s="54" t="b">
        <x:f>COUNTIF('Inventory'!$A$4:$A$431,B289)=1</x:f>
        <x:v>1</x:v>
      </x:c>
      <x:c r="F289" s="54" t="b">
        <x:f>A289=B289</x:f>
        <x:v>0</x:v>
      </x:c>
      <x:c r="G289" s="54" t="str">
        <x:f>IF(AND(D289,E289,NOT(F289),C289&gt;0),"OK","CHECK")</x:f>
        <x:v>OK</x:v>
      </x:c>
    </x:row>
    <x:row r="290">
      <x:c r="A290" s="54" t="str">
        <x:v>QAR-0007</x:v>
      </x:c>
      <x:c r="B290" s="54" t="str">
        <x:v>KIT-0026</x:v>
      </x:c>
      <x:c r="C290" s="63" t="n">
        <x:v>1</x:v>
      </x:c>
      <x:c r="D290" s="54" t="b">
        <x:f>COUNTIF('Inventory'!$A$4:$A$431,A290)=1</x:f>
        <x:v>1</x:v>
      </x:c>
      <x:c r="E290" s="54" t="b">
        <x:f>COUNTIF('Inventory'!$A$4:$A$431,B290)=1</x:f>
        <x:v>1</x:v>
      </x:c>
      <x:c r="F290" s="54" t="b">
        <x:f>A290=B290</x:f>
        <x:v>0</x:v>
      </x:c>
      <x:c r="G290" s="54" t="str">
        <x:f>IF(AND(D290,E290,NOT(F290),C290&gt;0),"OK","CHECK")</x:f>
        <x:v>OK</x:v>
      </x:c>
    </x:row>
    <x:row r="291">
      <x:c r="A291" s="54" t="str">
        <x:v>QAR-0007</x:v>
      </x:c>
      <x:c r="B291" s="54" t="str">
        <x:v>OFT-0016</x:v>
      </x:c>
      <x:c r="C291" s="63" t="n">
        <x:v>1</x:v>
      </x:c>
      <x:c r="D291" s="54" t="b">
        <x:f>COUNTIF('Inventory'!$A$4:$A$431,A291)=1</x:f>
        <x:v>1</x:v>
      </x:c>
      <x:c r="E291" s="54" t="b">
        <x:f>COUNTIF('Inventory'!$A$4:$A$431,B291)=1</x:f>
        <x:v>1</x:v>
      </x:c>
      <x:c r="F291" s="54" t="b">
        <x:f>A291=B291</x:f>
        <x:v>0</x:v>
      </x:c>
      <x:c r="G291" s="54" t="str">
        <x:f>IF(AND(D291,E291,NOT(F291),C291&gt;0),"OK","CHECK")</x:f>
        <x:v>OK</x:v>
      </x:c>
    </x:row>
    <x:row r="292">
      <x:c r="A292" s="54" t="str">
        <x:v>KIT-0025</x:v>
      </x:c>
      <x:c r="B292" s="54" t="str">
        <x:v>ASM-0031</x:v>
      </x:c>
      <x:c r="C292" s="63" t="n">
        <x:v>2</x:v>
      </x:c>
      <x:c r="D292" s="54" t="b">
        <x:f>COUNTIF('Inventory'!$A$4:$A$431,A292)=1</x:f>
        <x:v>1</x:v>
      </x:c>
      <x:c r="E292" s="54" t="b">
        <x:f>COUNTIF('Inventory'!$A$4:$A$431,B292)=1</x:f>
        <x:v>1</x:v>
      </x:c>
      <x:c r="F292" s="54" t="b">
        <x:f>A292=B292</x:f>
        <x:v>0</x:v>
      </x:c>
      <x:c r="G292" s="54" t="str">
        <x:f>IF(AND(D292,E292,NOT(F292),C292&gt;0),"OK","CHECK")</x:f>
        <x:v>OK</x:v>
      </x:c>
    </x:row>
    <x:row r="293">
      <x:c r="A293" s="54" t="str">
        <x:v>KIT-0025</x:v>
      </x:c>
      <x:c r="B293" s="54" t="str">
        <x:v>PRT-0103</x:v>
      </x:c>
      <x:c r="C293" s="63" t="n">
        <x:v>1</x:v>
      </x:c>
      <x:c r="D293" s="54" t="b">
        <x:f>COUNTIF('Inventory'!$A$4:$A$431,A293)=1</x:f>
        <x:v>1</x:v>
      </x:c>
      <x:c r="E293" s="54" t="b">
        <x:f>COUNTIF('Inventory'!$A$4:$A$431,B293)=1</x:f>
        <x:v>1</x:v>
      </x:c>
      <x:c r="F293" s="54" t="b">
        <x:f>A293=B293</x:f>
        <x:v>0</x:v>
      </x:c>
      <x:c r="G293" s="54" t="str">
        <x:f>IF(AND(D293,E293,NOT(F293),C293&gt;0),"OK","CHECK")</x:f>
        <x:v>OK</x:v>
      </x:c>
    </x:row>
    <x:row r="294">
      <x:c r="A294" s="54" t="str">
        <x:v>KIT-0025</x:v>
      </x:c>
      <x:c r="B294" s="54" t="str">
        <x:v>ASM-0032</x:v>
      </x:c>
      <x:c r="C294" s="63" t="n">
        <x:v>1</x:v>
      </x:c>
      <x:c r="D294" s="54" t="b">
        <x:f>COUNTIF('Inventory'!$A$4:$A$431,A294)=1</x:f>
        <x:v>1</x:v>
      </x:c>
      <x:c r="E294" s="54" t="b">
        <x:f>COUNTIF('Inventory'!$A$4:$A$431,B294)=1</x:f>
        <x:v>1</x:v>
      </x:c>
      <x:c r="F294" s="54" t="b">
        <x:f>A294=B294</x:f>
        <x:v>0</x:v>
      </x:c>
      <x:c r="G294" s="54" t="str">
        <x:f>IF(AND(D294,E294,NOT(F294),C294&gt;0),"OK","CHECK")</x:f>
        <x:v>OK</x:v>
      </x:c>
    </x:row>
    <x:row r="295">
      <x:c r="A295" s="54" t="str">
        <x:v>KIT-0025</x:v>
      </x:c>
      <x:c r="B295" s="54" t="str">
        <x:v>PRT-0104</x:v>
      </x:c>
      <x:c r="C295" s="63" t="n">
        <x:v>1</x:v>
      </x:c>
      <x:c r="D295" s="54" t="b">
        <x:f>COUNTIF('Inventory'!$A$4:$A$431,A295)=1</x:f>
        <x:v>1</x:v>
      </x:c>
      <x:c r="E295" s="54" t="b">
        <x:f>COUNTIF('Inventory'!$A$4:$A$431,B295)=1</x:f>
        <x:v>1</x:v>
      </x:c>
      <x:c r="F295" s="54" t="b">
        <x:f>A295=B295</x:f>
        <x:v>0</x:v>
      </x:c>
      <x:c r="G295" s="54" t="str">
        <x:f>IF(AND(D295,E295,NOT(F295),C295&gt;0),"OK","CHECK")</x:f>
        <x:v>OK</x:v>
      </x:c>
    </x:row>
    <x:row r="296">
      <x:c r="A296" s="54" t="str">
        <x:v>KIT-0025</x:v>
      </x:c>
      <x:c r="B296" s="54" t="str">
        <x:v>PRT-0105</x:v>
      </x:c>
      <x:c r="C296" s="63" t="n">
        <x:v>2</x:v>
      </x:c>
      <x:c r="D296" s="54" t="b">
        <x:f>COUNTIF('Inventory'!$A$4:$A$431,A296)=1</x:f>
        <x:v>1</x:v>
      </x:c>
      <x:c r="E296" s="54" t="b">
        <x:f>COUNTIF('Inventory'!$A$4:$A$431,B296)=1</x:f>
        <x:v>1</x:v>
      </x:c>
      <x:c r="F296" s="54" t="b">
        <x:f>A296=B296</x:f>
        <x:v>0</x:v>
      </x:c>
      <x:c r="G296" s="54" t="str">
        <x:f>IF(AND(D296,E296,NOT(F296),C296&gt;0),"OK","CHECK")</x:f>
        <x:v>OK</x:v>
      </x:c>
    </x:row>
    <x:row r="297">
      <x:c r="A297" s="54" t="str">
        <x:v>KIT-0025</x:v>
      </x:c>
      <x:c r="B297" s="54" t="str">
        <x:v>PRT-0106</x:v>
      </x:c>
      <x:c r="C297" s="63" t="n">
        <x:v>4</x:v>
      </x:c>
      <x:c r="D297" s="54" t="b">
        <x:f>COUNTIF('Inventory'!$A$4:$A$431,A297)=1</x:f>
        <x:v>1</x:v>
      </x:c>
      <x:c r="E297" s="54" t="b">
        <x:f>COUNTIF('Inventory'!$A$4:$A$431,B297)=1</x:f>
        <x:v>1</x:v>
      </x:c>
      <x:c r="F297" s="54" t="b">
        <x:f>A297=B297</x:f>
        <x:v>0</x:v>
      </x:c>
      <x:c r="G297" s="54" t="str">
        <x:f>IF(AND(D297,E297,NOT(F297),C297&gt;0),"OK","CHECK")</x:f>
        <x:v>OK</x:v>
      </x:c>
    </x:row>
    <x:row r="298">
      <x:c r="A298" s="54" t="str">
        <x:v>KIT-0025</x:v>
      </x:c>
      <x:c r="B298" s="54" t="str">
        <x:v>PRT-0107</x:v>
      </x:c>
      <x:c r="C298" s="63" t="n">
        <x:v>2</x:v>
      </x:c>
      <x:c r="D298" s="54" t="b">
        <x:f>COUNTIF('Inventory'!$A$4:$A$431,A298)=1</x:f>
        <x:v>1</x:v>
      </x:c>
      <x:c r="E298" s="54" t="b">
        <x:f>COUNTIF('Inventory'!$A$4:$A$431,B298)=1</x:f>
        <x:v>1</x:v>
      </x:c>
      <x:c r="F298" s="54" t="b">
        <x:f>A298=B298</x:f>
        <x:v>0</x:v>
      </x:c>
      <x:c r="G298" s="54" t="str">
        <x:f>IF(AND(D298,E298,NOT(F298),C298&gt;0),"OK","CHECK")</x:f>
        <x:v>OK</x:v>
      </x:c>
    </x:row>
    <x:row r="299">
      <x:c r="A299" s="54" t="str">
        <x:v>KIT-0025</x:v>
      </x:c>
      <x:c r="B299" s="54" t="str">
        <x:v>ASM-0033</x:v>
      </x:c>
      <x:c r="C299" s="63" t="n">
        <x:v>2</x:v>
      </x:c>
      <x:c r="D299" s="54" t="b">
        <x:f>COUNTIF('Inventory'!$A$4:$A$431,A299)=1</x:f>
        <x:v>1</x:v>
      </x:c>
      <x:c r="E299" s="54" t="b">
        <x:f>COUNTIF('Inventory'!$A$4:$A$431,B299)=1</x:f>
        <x:v>1</x:v>
      </x:c>
      <x:c r="F299" s="54" t="b">
        <x:f>A299=B299</x:f>
        <x:v>0</x:v>
      </x:c>
      <x:c r="G299" s="54" t="str">
        <x:f>IF(AND(D299,E299,NOT(F299),C299&gt;0),"OK","CHECK")</x:f>
        <x:v>OK</x:v>
      </x:c>
    </x:row>
    <x:row r="300">
      <x:c r="A300" s="54" t="str">
        <x:v>KIT-0025</x:v>
      </x:c>
      <x:c r="B300" s="54" t="str">
        <x:v>ASM-0034</x:v>
      </x:c>
      <x:c r="C300" s="63" t="n">
        <x:v>1</x:v>
      </x:c>
      <x:c r="D300" s="54" t="b">
        <x:f>COUNTIF('Inventory'!$A$4:$A$431,A300)=1</x:f>
        <x:v>1</x:v>
      </x:c>
      <x:c r="E300" s="54" t="b">
        <x:f>COUNTIF('Inventory'!$A$4:$A$431,B300)=1</x:f>
        <x:v>1</x:v>
      </x:c>
      <x:c r="F300" s="54" t="b">
        <x:f>A300=B300</x:f>
        <x:v>0</x:v>
      </x:c>
      <x:c r="G300" s="54" t="str">
        <x:f>IF(AND(D300,E300,NOT(F300),C300&gt;0),"OK","CHECK")</x:f>
        <x:v>OK</x:v>
      </x:c>
    </x:row>
    <x:row r="301">
      <x:c r="A301" s="54" t="str">
        <x:v>KIT-0025</x:v>
      </x:c>
      <x:c r="B301" s="54" t="str">
        <x:v>PRT-0108</x:v>
      </x:c>
      <x:c r="C301" s="63" t="n">
        <x:v>2</x:v>
      </x:c>
      <x:c r="D301" s="54" t="b">
        <x:f>COUNTIF('Inventory'!$A$4:$A$431,A301)=1</x:f>
        <x:v>1</x:v>
      </x:c>
      <x:c r="E301" s="54" t="b">
        <x:f>COUNTIF('Inventory'!$A$4:$A$431,B301)=1</x:f>
        <x:v>1</x:v>
      </x:c>
      <x:c r="F301" s="54" t="b">
        <x:f>A301=B301</x:f>
        <x:v>0</x:v>
      </x:c>
      <x:c r="G301" s="54" t="str">
        <x:f>IF(AND(D301,E301,NOT(F301),C301&gt;0),"OK","CHECK")</x:f>
        <x:v>OK</x:v>
      </x:c>
    </x:row>
    <x:row r="302">
      <x:c r="A302" s="54" t="str">
        <x:v>KIT-0025</x:v>
      </x:c>
      <x:c r="B302" s="54" t="str">
        <x:v>PKG-0006</x:v>
      </x:c>
      <x:c r="C302" s="63" t="n">
        <x:v>2</x:v>
      </x:c>
      <x:c r="D302" s="54" t="b">
        <x:f>COUNTIF('Inventory'!$A$4:$A$431,A302)=1</x:f>
        <x:v>1</x:v>
      </x:c>
      <x:c r="E302" s="54" t="b">
        <x:f>COUNTIF('Inventory'!$A$4:$A$431,B302)=1</x:f>
        <x:v>1</x:v>
      </x:c>
      <x:c r="F302" s="54" t="b">
        <x:f>A302=B302</x:f>
        <x:v>0</x:v>
      </x:c>
      <x:c r="G302" s="54" t="str">
        <x:f>IF(AND(D302,E302,NOT(F302),C302&gt;0),"OK","CHECK")</x:f>
        <x:v>OK</x:v>
      </x:c>
    </x:row>
    <x:row r="303">
      <x:c r="A303" s="54" t="str">
        <x:v>KIT-0025</x:v>
      </x:c>
      <x:c r="B303" s="54" t="str">
        <x:v>DOC-0001</x:v>
      </x:c>
      <x:c r="C303" s="63" t="n">
        <x:v>1</x:v>
      </x:c>
      <x:c r="D303" s="54" t="b">
        <x:f>COUNTIF('Inventory'!$A$4:$A$431,A303)=1</x:f>
        <x:v>1</x:v>
      </x:c>
      <x:c r="E303" s="54" t="b">
        <x:f>COUNTIF('Inventory'!$A$4:$A$431,B303)=1</x:f>
        <x:v>1</x:v>
      </x:c>
      <x:c r="F303" s="54" t="b">
        <x:f>A303=B303</x:f>
        <x:v>0</x:v>
      </x:c>
      <x:c r="G303" s="54" t="str">
        <x:f>IF(AND(D303,E303,NOT(F303),C303&gt;0),"OK","CHECK")</x:f>
        <x:v>OK</x:v>
      </x:c>
    </x:row>
    <x:row r="304">
      <x:c r="A304" s="54" t="str">
        <x:v>KIT-0026</x:v>
      </x:c>
      <x:c r="B304" s="54" t="str">
        <x:v>PRT-0109</x:v>
      </x:c>
      <x:c r="C304" s="63" t="n">
        <x:v>2</x:v>
      </x:c>
      <x:c r="D304" s="54" t="b">
        <x:f>COUNTIF('Inventory'!$A$4:$A$431,A304)=1</x:f>
        <x:v>1</x:v>
      </x:c>
      <x:c r="E304" s="54" t="b">
        <x:f>COUNTIF('Inventory'!$A$4:$A$431,B304)=1</x:f>
        <x:v>1</x:v>
      </x:c>
      <x:c r="F304" s="54" t="b">
        <x:f>A304=B304</x:f>
        <x:v>0</x:v>
      </x:c>
      <x:c r="G304" s="54" t="str">
        <x:f>IF(AND(D304,E304,NOT(F304),C304&gt;0),"OK","CHECK")</x:f>
        <x:v>OK</x:v>
      </x:c>
    </x:row>
    <x:row r="305">
      <x:c r="A305" s="54" t="str">
        <x:v>KIT-0026</x:v>
      </x:c>
      <x:c r="B305" s="54" t="str">
        <x:v>PRT-0110</x:v>
      </x:c>
      <x:c r="C305" s="63" t="n">
        <x:v>2</x:v>
      </x:c>
      <x:c r="D305" s="54" t="b">
        <x:f>COUNTIF('Inventory'!$A$4:$A$431,A305)=1</x:f>
        <x:v>1</x:v>
      </x:c>
      <x:c r="E305" s="54" t="b">
        <x:f>COUNTIF('Inventory'!$A$4:$A$431,B305)=1</x:f>
        <x:v>1</x:v>
      </x:c>
      <x:c r="F305" s="54" t="b">
        <x:f>A305=B305</x:f>
        <x:v>0</x:v>
      </x:c>
      <x:c r="G305" s="54" t="str">
        <x:f>IF(AND(D305,E305,NOT(F305),C305&gt;0),"OK","CHECK")</x:f>
        <x:v>OK</x:v>
      </x:c>
    </x:row>
    <x:row r="306">
      <x:c r="A306" s="54" t="str">
        <x:v>KIT-0026</x:v>
      </x:c>
      <x:c r="B306" s="54" t="str">
        <x:v>PRT-0111</x:v>
      </x:c>
      <x:c r="C306" s="63" t="n">
        <x:v>1</x:v>
      </x:c>
      <x:c r="D306" s="54" t="b">
        <x:f>COUNTIF('Inventory'!$A$4:$A$431,A306)=1</x:f>
        <x:v>1</x:v>
      </x:c>
      <x:c r="E306" s="54" t="b">
        <x:f>COUNTIF('Inventory'!$A$4:$A$431,B306)=1</x:f>
        <x:v>1</x:v>
      </x:c>
      <x:c r="F306" s="54" t="b">
        <x:f>A306=B306</x:f>
        <x:v>0</x:v>
      </x:c>
      <x:c r="G306" s="54" t="str">
        <x:f>IF(AND(D306,E306,NOT(F306),C306&gt;0),"OK","CHECK")</x:f>
        <x:v>OK</x:v>
      </x:c>
    </x:row>
    <x:row r="307">
      <x:c r="A307" s="54" t="str">
        <x:v>KIT-0026</x:v>
      </x:c>
      <x:c r="B307" s="54" t="str">
        <x:v>PRT-0105</x:v>
      </x:c>
      <x:c r="C307" s="63" t="n">
        <x:v>1</x:v>
      </x:c>
      <x:c r="D307" s="54" t="b">
        <x:f>COUNTIF('Inventory'!$A$4:$A$431,A307)=1</x:f>
        <x:v>1</x:v>
      </x:c>
      <x:c r="E307" s="54" t="b">
        <x:f>COUNTIF('Inventory'!$A$4:$A$431,B307)=1</x:f>
        <x:v>1</x:v>
      </x:c>
      <x:c r="F307" s="54" t="b">
        <x:f>A307=B307</x:f>
        <x:v>0</x:v>
      </x:c>
      <x:c r="G307" s="54" t="str">
        <x:f>IF(AND(D307,E307,NOT(F307),C307&gt;0),"OK","CHECK")</x:f>
        <x:v>OK</x:v>
      </x:c>
    </x:row>
    <x:row r="308">
      <x:c r="A308" s="54" t="str">
        <x:v>OFT-0016</x:v>
      </x:c>
      <x:c r="B308" s="54" t="str">
        <x:v>KIT-0027</x:v>
      </x:c>
      <x:c r="C308" s="63" t="n">
        <x:v>1</x:v>
      </x:c>
      <x:c r="D308" s="54" t="b">
        <x:f>COUNTIF('Inventory'!$A$4:$A$431,A308)=1</x:f>
        <x:v>1</x:v>
      </x:c>
      <x:c r="E308" s="54" t="b">
        <x:f>COUNTIF('Inventory'!$A$4:$A$431,B308)=1</x:f>
        <x:v>1</x:v>
      </x:c>
      <x:c r="F308" s="54" t="b">
        <x:f>A308=B308</x:f>
        <x:v>0</x:v>
      </x:c>
      <x:c r="G308" s="54" t="str">
        <x:f>IF(AND(D308,E308,NOT(F308),C308&gt;0),"OK","CHECK")</x:f>
        <x:v>OK</x:v>
      </x:c>
    </x:row>
    <x:row r="309">
      <x:c r="A309" s="54" t="str">
        <x:v>OFT-0016</x:v>
      </x:c>
      <x:c r="B309" s="54" t="str">
        <x:v>QAR-0053</x:v>
      </x:c>
      <x:c r="C309" s="63" t="n">
        <x:v>2</x:v>
      </x:c>
      <x:c r="D309" s="54" t="b">
        <x:f>COUNTIF('Inventory'!$A$4:$A$431,A309)=1</x:f>
        <x:v>1</x:v>
      </x:c>
      <x:c r="E309" s="54" t="b">
        <x:f>COUNTIF('Inventory'!$A$4:$A$431,B309)=1</x:f>
        <x:v>1</x:v>
      </x:c>
      <x:c r="F309" s="54" t="b">
        <x:f>A309=B309</x:f>
        <x:v>0</x:v>
      </x:c>
      <x:c r="G309" s="54" t="str">
        <x:f>IF(AND(D309,E309,NOT(F309),C309&gt;0),"OK","CHECK")</x:f>
        <x:v>OK</x:v>
      </x:c>
    </x:row>
    <x:row r="310">
      <x:c r="A310" s="54" t="str">
        <x:v>OFT-0016</x:v>
      </x:c>
      <x:c r="B310" s="54" t="str">
        <x:v>ASM-0035</x:v>
      </x:c>
      <x:c r="C310" s="63" t="n">
        <x:v>12</x:v>
      </x:c>
      <x:c r="D310" s="54" t="b">
        <x:f>COUNTIF('Inventory'!$A$4:$A$431,A310)=1</x:f>
        <x:v>1</x:v>
      </x:c>
      <x:c r="E310" s="54" t="b">
        <x:f>COUNTIF('Inventory'!$A$4:$A$431,B310)=1</x:f>
        <x:v>1</x:v>
      </x:c>
      <x:c r="F310" s="54" t="b">
        <x:f>A310=B310</x:f>
        <x:v>0</x:v>
      </x:c>
      <x:c r="G310" s="54" t="str">
        <x:f>IF(AND(D310,E310,NOT(F310),C310&gt;0),"OK","CHECK")</x:f>
        <x:v>OK</x:v>
      </x:c>
    </x:row>
    <x:row r="311">
      <x:c r="A311" s="54" t="str">
        <x:v>OFT-0016</x:v>
      </x:c>
      <x:c r="B311" s="54" t="str">
        <x:v>ASM-0036</x:v>
      </x:c>
      <x:c r="C311" s="63" t="n">
        <x:v>2</x:v>
      </x:c>
      <x:c r="D311" s="54" t="b">
        <x:f>COUNTIF('Inventory'!$A$4:$A$431,A311)=1</x:f>
        <x:v>1</x:v>
      </x:c>
      <x:c r="E311" s="54" t="b">
        <x:f>COUNTIF('Inventory'!$A$4:$A$431,B311)=1</x:f>
        <x:v>1</x:v>
      </x:c>
      <x:c r="F311" s="54" t="b">
        <x:f>A311=B311</x:f>
        <x:v>0</x:v>
      </x:c>
      <x:c r="G311" s="54" t="str">
        <x:f>IF(AND(D311,E311,NOT(F311),C311&gt;0),"OK","CHECK")</x:f>
        <x:v>OK</x:v>
      </x:c>
    </x:row>
    <x:row r="312">
      <x:c r="A312" s="54" t="str">
        <x:v>QAR-0008</x:v>
      </x:c>
      <x:c r="B312" s="54" t="str">
        <x:v>KIT-0028</x:v>
      </x:c>
      <x:c r="C312" s="63" t="n">
        <x:v>1</x:v>
      </x:c>
      <x:c r="D312" s="54" t="b">
        <x:f>COUNTIF('Inventory'!$A$4:$A$431,A312)=1</x:f>
        <x:v>1</x:v>
      </x:c>
      <x:c r="E312" s="54" t="b">
        <x:f>COUNTIF('Inventory'!$A$4:$A$431,B312)=1</x:f>
        <x:v>1</x:v>
      </x:c>
      <x:c r="F312" s="54" t="b">
        <x:f>A312=B312</x:f>
        <x:v>0</x:v>
      </x:c>
      <x:c r="G312" s="54" t="str">
        <x:f>IF(AND(D312,E312,NOT(F312),C312&gt;0),"OK","CHECK")</x:f>
        <x:v>OK</x:v>
      </x:c>
    </x:row>
    <x:row r="313">
      <x:c r="A313" s="54" t="str">
        <x:v>QAR-0008</x:v>
      </x:c>
      <x:c r="B313" s="54" t="str">
        <x:v>KIT-0029</x:v>
      </x:c>
      <x:c r="C313" s="63" t="n">
        <x:v>2</x:v>
      </x:c>
      <x:c r="D313" s="54" t="b">
        <x:f>COUNTIF('Inventory'!$A$4:$A$431,A313)=1</x:f>
        <x:v>1</x:v>
      </x:c>
      <x:c r="E313" s="54" t="b">
        <x:f>COUNTIF('Inventory'!$A$4:$A$431,B313)=1</x:f>
        <x:v>1</x:v>
      </x:c>
      <x:c r="F313" s="54" t="b">
        <x:f>A313=B313</x:f>
        <x:v>0</x:v>
      </x:c>
      <x:c r="G313" s="54" t="str">
        <x:f>IF(AND(D313,E313,NOT(F313),C313&gt;0),"OK","CHECK")</x:f>
        <x:v>OK</x:v>
      </x:c>
    </x:row>
    <x:row r="314">
      <x:c r="A314" s="54" t="str">
        <x:v>QAR-0008</x:v>
      </x:c>
      <x:c r="B314" s="54" t="str">
        <x:v>KIT-0030</x:v>
      </x:c>
      <x:c r="C314" s="63" t="n">
        <x:v>4</x:v>
      </x:c>
      <x:c r="D314" s="54" t="b">
        <x:f>COUNTIF('Inventory'!$A$4:$A$431,A314)=1</x:f>
        <x:v>1</x:v>
      </x:c>
      <x:c r="E314" s="54" t="b">
        <x:f>COUNTIF('Inventory'!$A$4:$A$431,B314)=1</x:f>
        <x:v>1</x:v>
      </x:c>
      <x:c r="F314" s="54" t="b">
        <x:f>A314=B314</x:f>
        <x:v>0</x:v>
      </x:c>
      <x:c r="G314" s="54" t="str">
        <x:f>IF(AND(D314,E314,NOT(F314),C314&gt;0),"OK","CHECK")</x:f>
        <x:v>OK</x:v>
      </x:c>
    </x:row>
    <x:row r="315">
      <x:c r="A315" s="54" t="str">
        <x:v>QAR-0008</x:v>
      </x:c>
      <x:c r="B315" s="54" t="str">
        <x:v>OFT-0017</x:v>
      </x:c>
      <x:c r="C315" s="63" t="n">
        <x:v>1</x:v>
      </x:c>
      <x:c r="D315" s="54" t="b">
        <x:f>COUNTIF('Inventory'!$A$4:$A$431,A315)=1</x:f>
        <x:v>1</x:v>
      </x:c>
      <x:c r="E315" s="54" t="b">
        <x:f>COUNTIF('Inventory'!$A$4:$A$431,B315)=1</x:f>
        <x:v>1</x:v>
      </x:c>
      <x:c r="F315" s="54" t="b">
        <x:f>A315=B315</x:f>
        <x:v>0</x:v>
      </x:c>
      <x:c r="G315" s="54" t="str">
        <x:f>IF(AND(D315,E315,NOT(F315),C315&gt;0),"OK","CHECK")</x:f>
        <x:v>OK</x:v>
      </x:c>
    </x:row>
    <x:row r="316">
      <x:c r="A316" s="54" t="str">
        <x:v>QAR-0008</x:v>
      </x:c>
      <x:c r="B316" s="54" t="str">
        <x:v>ASM-0037</x:v>
      </x:c>
      <x:c r="C316" s="63" t="n">
        <x:v>1</x:v>
      </x:c>
      <x:c r="D316" s="54" t="b">
        <x:f>COUNTIF('Inventory'!$A$4:$A$431,A316)=1</x:f>
        <x:v>1</x:v>
      </x:c>
      <x:c r="E316" s="54" t="b">
        <x:f>COUNTIF('Inventory'!$A$4:$A$431,B316)=1</x:f>
        <x:v>1</x:v>
      </x:c>
      <x:c r="F316" s="54" t="b">
        <x:f>A316=B316</x:f>
        <x:v>0</x:v>
      </x:c>
      <x:c r="G316" s="54" t="str">
        <x:f>IF(AND(D316,E316,NOT(F316),C316&gt;0),"OK","CHECK")</x:f>
        <x:v>OK</x:v>
      </x:c>
    </x:row>
    <x:row r="317">
      <x:c r="A317" s="54" t="str">
        <x:v>QAR-0008</x:v>
      </x:c>
      <x:c r="B317" s="54" t="str">
        <x:v>ASM-0038</x:v>
      </x:c>
      <x:c r="C317" s="63" t="n">
        <x:v>1</x:v>
      </x:c>
      <x:c r="D317" s="54" t="b">
        <x:f>COUNTIF('Inventory'!$A$4:$A$431,A317)=1</x:f>
        <x:v>1</x:v>
      </x:c>
      <x:c r="E317" s="54" t="b">
        <x:f>COUNTIF('Inventory'!$A$4:$A$431,B317)=1</x:f>
        <x:v>1</x:v>
      </x:c>
      <x:c r="F317" s="54" t="b">
        <x:f>A317=B317</x:f>
        <x:v>0</x:v>
      </x:c>
      <x:c r="G317" s="54" t="str">
        <x:f>IF(AND(D317,E317,NOT(F317),C317&gt;0),"OK","CHECK")</x:f>
        <x:v>OK</x:v>
      </x:c>
    </x:row>
    <x:row r="318">
      <x:c r="A318" s="54" t="str">
        <x:v>KIT-0028</x:v>
      </x:c>
      <x:c r="B318" s="54" t="str">
        <x:v>PRT-0112</x:v>
      </x:c>
      <x:c r="C318" s="63" t="n">
        <x:v>2</x:v>
      </x:c>
      <x:c r="D318" s="54" t="b">
        <x:f>COUNTIF('Inventory'!$A$4:$A$431,A318)=1</x:f>
        <x:v>1</x:v>
      </x:c>
      <x:c r="E318" s="54" t="b">
        <x:f>COUNTIF('Inventory'!$A$4:$A$431,B318)=1</x:f>
        <x:v>1</x:v>
      </x:c>
      <x:c r="F318" s="54" t="b">
        <x:f>A318=B318</x:f>
        <x:v>0</x:v>
      </x:c>
      <x:c r="G318" s="54" t="str">
        <x:f>IF(AND(D318,E318,NOT(F318),C318&gt;0),"OK","CHECK")</x:f>
        <x:v>OK</x:v>
      </x:c>
    </x:row>
    <x:row r="319">
      <x:c r="A319" s="54" t="str">
        <x:v>KIT-0028</x:v>
      </x:c>
      <x:c r="B319" s="54" t="str">
        <x:v>PRT-0113</x:v>
      </x:c>
      <x:c r="C319" s="63" t="n">
        <x:v>4</x:v>
      </x:c>
      <x:c r="D319" s="54" t="b">
        <x:f>COUNTIF('Inventory'!$A$4:$A$431,A319)=1</x:f>
        <x:v>1</x:v>
      </x:c>
      <x:c r="E319" s="54" t="b">
        <x:f>COUNTIF('Inventory'!$A$4:$A$431,B319)=1</x:f>
        <x:v>1</x:v>
      </x:c>
      <x:c r="F319" s="54" t="b">
        <x:f>A319=B319</x:f>
        <x:v>0</x:v>
      </x:c>
      <x:c r="G319" s="54" t="str">
        <x:f>IF(AND(D319,E319,NOT(F319),C319&gt;0),"OK","CHECK")</x:f>
        <x:v>OK</x:v>
      </x:c>
    </x:row>
    <x:row r="320">
      <x:c r="A320" s="54" t="str">
        <x:v>KIT-0028</x:v>
      </x:c>
      <x:c r="B320" s="54" t="str">
        <x:v>PRT-0114</x:v>
      </x:c>
      <x:c r="C320" s="63" t="n">
        <x:v>1</x:v>
      </x:c>
      <x:c r="D320" s="54" t="b">
        <x:f>COUNTIF('Inventory'!$A$4:$A$431,A320)=1</x:f>
        <x:v>1</x:v>
      </x:c>
      <x:c r="E320" s="54" t="b">
        <x:f>COUNTIF('Inventory'!$A$4:$A$431,B320)=1</x:f>
        <x:v>1</x:v>
      </x:c>
      <x:c r="F320" s="54" t="b">
        <x:f>A320=B320</x:f>
        <x:v>0</x:v>
      </x:c>
      <x:c r="G320" s="54" t="str">
        <x:f>IF(AND(D320,E320,NOT(F320),C320&gt;0),"OK","CHECK")</x:f>
        <x:v>OK</x:v>
      </x:c>
    </x:row>
    <x:row r="321">
      <x:c r="A321" s="54" t="str">
        <x:v>KIT-0028</x:v>
      </x:c>
      <x:c r="B321" s="54" t="str">
        <x:v>PRT-0115</x:v>
      </x:c>
      <x:c r="C321" s="63" t="n">
        <x:v>4</x:v>
      </x:c>
      <x:c r="D321" s="54" t="b">
        <x:f>COUNTIF('Inventory'!$A$4:$A$431,A321)=1</x:f>
        <x:v>1</x:v>
      </x:c>
      <x:c r="E321" s="54" t="b">
        <x:f>COUNTIF('Inventory'!$A$4:$A$431,B321)=1</x:f>
        <x:v>1</x:v>
      </x:c>
      <x:c r="F321" s="54" t="b">
        <x:f>A321=B321</x:f>
        <x:v>0</x:v>
      </x:c>
      <x:c r="G321" s="54" t="str">
        <x:f>IF(AND(D321,E321,NOT(F321),C321&gt;0),"OK","CHECK")</x:f>
        <x:v>OK</x:v>
      </x:c>
    </x:row>
    <x:row r="322">
      <x:c r="A322" s="54" t="str">
        <x:v>KIT-0028</x:v>
      </x:c>
      <x:c r="B322" s="54" t="str">
        <x:v>KIT-0031</x:v>
      </x:c>
      <x:c r="C322" s="63" t="n">
        <x:v>2</x:v>
      </x:c>
      <x:c r="D322" s="54" t="b">
        <x:f>COUNTIF('Inventory'!$A$4:$A$431,A322)=1</x:f>
        <x:v>1</x:v>
      </x:c>
      <x:c r="E322" s="54" t="b">
        <x:f>COUNTIF('Inventory'!$A$4:$A$431,B322)=1</x:f>
        <x:v>1</x:v>
      </x:c>
      <x:c r="F322" s="54" t="b">
        <x:f>A322=B322</x:f>
        <x:v>0</x:v>
      </x:c>
      <x:c r="G322" s="54" t="str">
        <x:f>IF(AND(D322,E322,NOT(F322),C322&gt;0),"OK","CHECK")</x:f>
        <x:v>OK</x:v>
      </x:c>
    </x:row>
    <x:row r="323">
      <x:c r="A323" s="54" t="str">
        <x:v>KIT-0028</x:v>
      </x:c>
      <x:c r="B323" s="54" t="str">
        <x:v>KIT-0032</x:v>
      </x:c>
      <x:c r="C323" s="63" t="n">
        <x:v>2</x:v>
      </x:c>
      <x:c r="D323" s="54" t="b">
        <x:f>COUNTIF('Inventory'!$A$4:$A$431,A323)=1</x:f>
        <x:v>1</x:v>
      </x:c>
      <x:c r="E323" s="54" t="b">
        <x:f>COUNTIF('Inventory'!$A$4:$A$431,B323)=1</x:f>
        <x:v>1</x:v>
      </x:c>
      <x:c r="F323" s="54" t="b">
        <x:f>A323=B323</x:f>
        <x:v>0</x:v>
      </x:c>
      <x:c r="G323" s="54" t="str">
        <x:f>IF(AND(D323,E323,NOT(F323),C323&gt;0),"OK","CHECK")</x:f>
        <x:v>OK</x:v>
      </x:c>
    </x:row>
    <x:row r="324">
      <x:c r="A324" s="54" t="str">
        <x:v>KIT-0028</x:v>
      </x:c>
      <x:c r="B324" s="54" t="str">
        <x:v>PRT-0116</x:v>
      </x:c>
      <x:c r="C324" s="63" t="n">
        <x:v>4</x:v>
      </x:c>
      <x:c r="D324" s="54" t="b">
        <x:f>COUNTIF('Inventory'!$A$4:$A$431,A324)=1</x:f>
        <x:v>1</x:v>
      </x:c>
      <x:c r="E324" s="54" t="b">
        <x:f>COUNTIF('Inventory'!$A$4:$A$431,B324)=1</x:f>
        <x:v>1</x:v>
      </x:c>
      <x:c r="F324" s="54" t="b">
        <x:f>A324=B324</x:f>
        <x:v>0</x:v>
      </x:c>
      <x:c r="G324" s="54" t="str">
        <x:f>IF(AND(D324,E324,NOT(F324),C324&gt;0),"OK","CHECK")</x:f>
        <x:v>OK</x:v>
      </x:c>
    </x:row>
    <x:row r="325">
      <x:c r="A325" s="54" t="str">
        <x:v>KIT-0028</x:v>
      </x:c>
      <x:c r="B325" s="54" t="str">
        <x:v>PRT-0117</x:v>
      </x:c>
      <x:c r="C325" s="63" t="n">
        <x:v>4</x:v>
      </x:c>
      <x:c r="D325" s="54" t="b">
        <x:f>COUNTIF('Inventory'!$A$4:$A$431,A325)=1</x:f>
        <x:v>1</x:v>
      </x:c>
      <x:c r="E325" s="54" t="b">
        <x:f>COUNTIF('Inventory'!$A$4:$A$431,B325)=1</x:f>
        <x:v>1</x:v>
      </x:c>
      <x:c r="F325" s="54" t="b">
        <x:f>A325=B325</x:f>
        <x:v>0</x:v>
      </x:c>
      <x:c r="G325" s="54" t="str">
        <x:f>IF(AND(D325,E325,NOT(F325),C325&gt;0),"OK","CHECK")</x:f>
        <x:v>OK</x:v>
      </x:c>
    </x:row>
    <x:row r="326">
      <x:c r="A326" s="54" t="str">
        <x:v>KIT-0028</x:v>
      </x:c>
      <x:c r="B326" s="54" t="str">
        <x:v>PRT-0118</x:v>
      </x:c>
      <x:c r="C326" s="63" t="n">
        <x:v>4</x:v>
      </x:c>
      <x:c r="D326" s="54" t="b">
        <x:f>COUNTIF('Inventory'!$A$4:$A$431,A326)=1</x:f>
        <x:v>1</x:v>
      </x:c>
      <x:c r="E326" s="54" t="b">
        <x:f>COUNTIF('Inventory'!$A$4:$A$431,B326)=1</x:f>
        <x:v>1</x:v>
      </x:c>
      <x:c r="F326" s="54" t="b">
        <x:f>A326=B326</x:f>
        <x:v>0</x:v>
      </x:c>
      <x:c r="G326" s="54" t="str">
        <x:f>IF(AND(D326,E326,NOT(F326),C326&gt;0),"OK","CHECK")</x:f>
        <x:v>OK</x:v>
      </x:c>
    </x:row>
    <x:row r="327">
      <x:c r="A327" s="54" t="str">
        <x:v>KIT-0029</x:v>
      </x:c>
      <x:c r="B327" s="54" t="str">
        <x:v>PRT-0119</x:v>
      </x:c>
      <x:c r="C327" s="63" t="n">
        <x:v>12</x:v>
      </x:c>
      <x:c r="D327" s="54" t="b">
        <x:f>COUNTIF('Inventory'!$A$4:$A$431,A327)=1</x:f>
        <x:v>1</x:v>
      </x:c>
      <x:c r="E327" s="54" t="b">
        <x:f>COUNTIF('Inventory'!$A$4:$A$431,B327)=1</x:f>
        <x:v>1</x:v>
      </x:c>
      <x:c r="F327" s="54" t="b">
        <x:f>A327=B327</x:f>
        <x:v>0</x:v>
      </x:c>
      <x:c r="G327" s="54" t="str">
        <x:f>IF(AND(D327,E327,NOT(F327),C327&gt;0),"OK","CHECK")</x:f>
        <x:v>OK</x:v>
      </x:c>
    </x:row>
    <x:row r="328">
      <x:c r="A328" s="54" t="str">
        <x:v>KIT-0029</x:v>
      </x:c>
      <x:c r="B328" s="54" t="str">
        <x:v>PRT-0117</x:v>
      </x:c>
      <x:c r="C328" s="63" t="n">
        <x:v>4</x:v>
      </x:c>
      <x:c r="D328" s="54" t="b">
        <x:f>COUNTIF('Inventory'!$A$4:$A$431,A328)=1</x:f>
        <x:v>1</x:v>
      </x:c>
      <x:c r="E328" s="54" t="b">
        <x:f>COUNTIF('Inventory'!$A$4:$A$431,B328)=1</x:f>
        <x:v>1</x:v>
      </x:c>
      <x:c r="F328" s="54" t="b">
        <x:f>A328=B328</x:f>
        <x:v>0</x:v>
      </x:c>
      <x:c r="G328" s="54" t="str">
        <x:f>IF(AND(D328,E328,NOT(F328),C328&gt;0),"OK","CHECK")</x:f>
        <x:v>OK</x:v>
      </x:c>
    </x:row>
    <x:row r="329">
      <x:c r="A329" s="54" t="str">
        <x:v>KIT-0029</x:v>
      </x:c>
      <x:c r="B329" s="54" t="str">
        <x:v>MAT-0010</x:v>
      </x:c>
      <x:c r="C329" s="63" t="n">
        <x:v>4</x:v>
      </x:c>
      <x:c r="D329" s="54" t="b">
        <x:f>COUNTIF('Inventory'!$A$4:$A$431,A329)=1</x:f>
        <x:v>1</x:v>
      </x:c>
      <x:c r="E329" s="54" t="b">
        <x:f>COUNTIF('Inventory'!$A$4:$A$431,B329)=1</x:f>
        <x:v>1</x:v>
      </x:c>
      <x:c r="F329" s="54" t="b">
        <x:f>A329=B329</x:f>
        <x:v>0</x:v>
      </x:c>
      <x:c r="G329" s="54" t="str">
        <x:f>IF(AND(D329,E329,NOT(F329),C329&gt;0),"OK","CHECK")</x:f>
        <x:v>OK</x:v>
      </x:c>
    </x:row>
    <x:row r="330">
      <x:c r="A330" s="54" t="str">
        <x:v>KIT-0029</x:v>
      </x:c>
      <x:c r="B330" s="54" t="str">
        <x:v>MAT-0011</x:v>
      </x:c>
      <x:c r="C330" s="63" t="n">
        <x:v>4</x:v>
      </x:c>
      <x:c r="D330" s="54" t="b">
        <x:f>COUNTIF('Inventory'!$A$4:$A$431,A330)=1</x:f>
        <x:v>1</x:v>
      </x:c>
      <x:c r="E330" s="54" t="b">
        <x:f>COUNTIF('Inventory'!$A$4:$A$431,B330)=1</x:f>
        <x:v>1</x:v>
      </x:c>
      <x:c r="F330" s="54" t="b">
        <x:f>A330=B330</x:f>
        <x:v>0</x:v>
      </x:c>
      <x:c r="G330" s="54" t="str">
        <x:f>IF(AND(D330,E330,NOT(F330),C330&gt;0),"OK","CHECK")</x:f>
        <x:v>OK</x:v>
      </x:c>
    </x:row>
    <x:row r="331">
      <x:c r="A331" s="54" t="str">
        <x:v>KIT-0029</x:v>
      </x:c>
      <x:c r="B331" s="54" t="str">
        <x:v>PRT-0004</x:v>
      </x:c>
      <x:c r="C331" s="63" t="n">
        <x:v>12</x:v>
      </x:c>
      <x:c r="D331" s="54" t="b">
        <x:f>COUNTIF('Inventory'!$A$4:$A$431,A331)=1</x:f>
        <x:v>1</x:v>
      </x:c>
      <x:c r="E331" s="54" t="b">
        <x:f>COUNTIF('Inventory'!$A$4:$A$431,B331)=1</x:f>
        <x:v>1</x:v>
      </x:c>
      <x:c r="F331" s="54" t="b">
        <x:f>A331=B331</x:f>
        <x:v>0</x:v>
      </x:c>
      <x:c r="G331" s="54" t="str">
        <x:f>IF(AND(D331,E331,NOT(F331),C331&gt;0),"OK","CHECK")</x:f>
        <x:v>OK</x:v>
      </x:c>
    </x:row>
    <x:row r="332">
      <x:c r="A332" s="54" t="str">
        <x:v>KIT-0030</x:v>
      </x:c>
      <x:c r="B332" s="54" t="str">
        <x:v>PRT-0120</x:v>
      </x:c>
      <x:c r="C332" s="63" t="n">
        <x:v>8</x:v>
      </x:c>
      <x:c r="D332" s="54" t="b">
        <x:f>COUNTIF('Inventory'!$A$4:$A$431,A332)=1</x:f>
        <x:v>1</x:v>
      </x:c>
      <x:c r="E332" s="54" t="b">
        <x:f>COUNTIF('Inventory'!$A$4:$A$431,B332)=1</x:f>
        <x:v>1</x:v>
      </x:c>
      <x:c r="F332" s="54" t="b">
        <x:f>A332=B332</x:f>
        <x:v>0</x:v>
      </x:c>
      <x:c r="G332" s="54" t="str">
        <x:f>IF(AND(D332,E332,NOT(F332),C332&gt;0),"OK","CHECK")</x:f>
        <x:v>OK</x:v>
      </x:c>
    </x:row>
    <x:row r="333">
      <x:c r="A333" s="54" t="str">
        <x:v>KIT-0030</x:v>
      </x:c>
      <x:c r="B333" s="54" t="str">
        <x:v>PRT-0121</x:v>
      </x:c>
      <x:c r="C333" s="63" t="n">
        <x:v>2</x:v>
      </x:c>
      <x:c r="D333" s="54" t="b">
        <x:f>COUNTIF('Inventory'!$A$4:$A$431,A333)=1</x:f>
        <x:v>1</x:v>
      </x:c>
      <x:c r="E333" s="54" t="b">
        <x:f>COUNTIF('Inventory'!$A$4:$A$431,B333)=1</x:f>
        <x:v>1</x:v>
      </x:c>
      <x:c r="F333" s="54" t="b">
        <x:f>A333=B333</x:f>
        <x:v>0</x:v>
      </x:c>
      <x:c r="G333" s="54" t="str">
        <x:f>IF(AND(D333,E333,NOT(F333),C333&gt;0),"OK","CHECK")</x:f>
        <x:v>OK</x:v>
      </x:c>
    </x:row>
    <x:row r="334">
      <x:c r="A334" s="54" t="str">
        <x:v>KIT-0030</x:v>
      </x:c>
      <x:c r="B334" s="54" t="str">
        <x:v>MAT-0010</x:v>
      </x:c>
      <x:c r="C334" s="63" t="n">
        <x:v>2</x:v>
      </x:c>
      <x:c r="D334" s="54" t="b">
        <x:f>COUNTIF('Inventory'!$A$4:$A$431,A334)=1</x:f>
        <x:v>1</x:v>
      </x:c>
      <x:c r="E334" s="54" t="b">
        <x:f>COUNTIF('Inventory'!$A$4:$A$431,B334)=1</x:f>
        <x:v>1</x:v>
      </x:c>
      <x:c r="F334" s="54" t="b">
        <x:f>A334=B334</x:f>
        <x:v>0</x:v>
      </x:c>
      <x:c r="G334" s="54" t="str">
        <x:f>IF(AND(D334,E334,NOT(F334),C334&gt;0),"OK","CHECK")</x:f>
        <x:v>OK</x:v>
      </x:c>
    </x:row>
    <x:row r="335">
      <x:c r="A335" s="54" t="str">
        <x:v>KIT-0030</x:v>
      </x:c>
      <x:c r="B335" s="54" t="str">
        <x:v>PRT-0002</x:v>
      </x:c>
      <x:c r="C335" s="63" t="n">
        <x:v>40</x:v>
      </x:c>
      <x:c r="D335" s="54" t="b">
        <x:f>COUNTIF('Inventory'!$A$4:$A$431,A335)=1</x:f>
        <x:v>1</x:v>
      </x:c>
      <x:c r="E335" s="54" t="b">
        <x:f>COUNTIF('Inventory'!$A$4:$A$431,B335)=1</x:f>
        <x:v>1</x:v>
      </x:c>
      <x:c r="F335" s="54" t="b">
        <x:f>A335=B335</x:f>
        <x:v>0</x:v>
      </x:c>
      <x:c r="G335" s="54" t="str">
        <x:f>IF(AND(D335,E335,NOT(F335),C335&gt;0),"OK","CHECK")</x:f>
        <x:v>OK</x:v>
      </x:c>
    </x:row>
    <x:row r="336">
      <x:c r="A336" s="54" t="str">
        <x:v>KIT-0030</x:v>
      </x:c>
      <x:c r="B336" s="54" t="str">
        <x:v>PRT-0116</x:v>
      </x:c>
      <x:c r="C336" s="63" t="n">
        <x:v>2</x:v>
      </x:c>
      <x:c r="D336" s="54" t="b">
        <x:f>COUNTIF('Inventory'!$A$4:$A$431,A336)=1</x:f>
        <x:v>1</x:v>
      </x:c>
      <x:c r="E336" s="54" t="b">
        <x:f>COUNTIF('Inventory'!$A$4:$A$431,B336)=1</x:f>
        <x:v>1</x:v>
      </x:c>
      <x:c r="F336" s="54" t="b">
        <x:f>A336=B336</x:f>
        <x:v>0</x:v>
      </x:c>
      <x:c r="G336" s="54" t="str">
        <x:f>IF(AND(D336,E336,NOT(F336),C336&gt;0),"OK","CHECK")</x:f>
        <x:v>OK</x:v>
      </x:c>
    </x:row>
    <x:row r="337">
      <x:c r="A337" s="54" t="str">
        <x:v>KIT-0030</x:v>
      </x:c>
      <x:c r="B337" s="54" t="str">
        <x:v>PRT-0119</x:v>
      </x:c>
      <x:c r="C337" s="63" t="n">
        <x:v>4</x:v>
      </x:c>
      <x:c r="D337" s="54" t="b">
        <x:f>COUNTIF('Inventory'!$A$4:$A$431,A337)=1</x:f>
        <x:v>1</x:v>
      </x:c>
      <x:c r="E337" s="54" t="b">
        <x:f>COUNTIF('Inventory'!$A$4:$A$431,B337)=1</x:f>
        <x:v>1</x:v>
      </x:c>
      <x:c r="F337" s="54" t="b">
        <x:f>A337=B337</x:f>
        <x:v>0</x:v>
      </x:c>
      <x:c r="G337" s="54" t="str">
        <x:f>IF(AND(D337,E337,NOT(F337),C337&gt;0),"OK","CHECK")</x:f>
        <x:v>OK</x:v>
      </x:c>
    </x:row>
    <x:row r="338">
      <x:c r="A338" s="54" t="str">
        <x:v>KIT-0030</x:v>
      </x:c>
      <x:c r="B338" s="54" t="str">
        <x:v>LBL-0005</x:v>
      </x:c>
      <x:c r="C338" s="63" t="n">
        <x:v>1</x:v>
      </x:c>
      <x:c r="D338" s="54" t="b">
        <x:f>COUNTIF('Inventory'!$A$4:$A$431,A338)=1</x:f>
        <x:v>1</x:v>
      </x:c>
      <x:c r="E338" s="54" t="b">
        <x:f>COUNTIF('Inventory'!$A$4:$A$431,B338)=1</x:f>
        <x:v>1</x:v>
      </x:c>
      <x:c r="F338" s="54" t="b">
        <x:f>A338=B338</x:f>
        <x:v>0</x:v>
      </x:c>
      <x:c r="G338" s="54" t="str">
        <x:f>IF(AND(D338,E338,NOT(F338),C338&gt;0),"OK","CHECK")</x:f>
        <x:v>OK</x:v>
      </x:c>
    </x:row>
    <x:row r="339">
      <x:c r="A339" s="54" t="str">
        <x:v>OFT-0017</x:v>
      </x:c>
      <x:c r="B339" s="54" t="str">
        <x:v>PRT-0122</x:v>
      </x:c>
      <x:c r="C339" s="63" t="n">
        <x:v>8</x:v>
      </x:c>
      <x:c r="D339" s="54" t="b">
        <x:f>COUNTIF('Inventory'!$A$4:$A$431,A339)=1</x:f>
        <x:v>1</x:v>
      </x:c>
      <x:c r="E339" s="54" t="b">
        <x:f>COUNTIF('Inventory'!$A$4:$A$431,B339)=1</x:f>
        <x:v>1</x:v>
      </x:c>
      <x:c r="F339" s="54" t="b">
        <x:f>A339=B339</x:f>
        <x:v>0</x:v>
      </x:c>
      <x:c r="G339" s="54" t="str">
        <x:f>IF(AND(D339,E339,NOT(F339),C339&gt;0),"OK","CHECK")</x:f>
        <x:v>OK</x:v>
      </x:c>
    </x:row>
    <x:row r="340">
      <x:c r="A340" s="54" t="str">
        <x:v>OFT-0017</x:v>
      </x:c>
      <x:c r="B340" s="54" t="str">
        <x:v>PRT-0123</x:v>
      </x:c>
      <x:c r="C340" s="63" t="n">
        <x:v>40</x:v>
      </x:c>
      <x:c r="D340" s="54" t="b">
        <x:f>COUNTIF('Inventory'!$A$4:$A$431,A340)=1</x:f>
        <x:v>1</x:v>
      </x:c>
      <x:c r="E340" s="54" t="b">
        <x:f>COUNTIF('Inventory'!$A$4:$A$431,B340)=1</x:f>
        <x:v>1</x:v>
      </x:c>
      <x:c r="F340" s="54" t="b">
        <x:f>A340=B340</x:f>
        <x:v>0</x:v>
      </x:c>
      <x:c r="G340" s="54" t="str">
        <x:f>IF(AND(D340,E340,NOT(F340),C340&gt;0),"OK","CHECK")</x:f>
        <x:v>OK</x:v>
      </x:c>
    </x:row>
    <x:row r="341">
      <x:c r="A341" s="54" t="str">
        <x:v>OFT-0017</x:v>
      </x:c>
      <x:c r="B341" s="54" t="str">
        <x:v>PRT-0120</x:v>
      </x:c>
      <x:c r="C341" s="63" t="n">
        <x:v>24</x:v>
      </x:c>
      <x:c r="D341" s="54" t="b">
        <x:f>COUNTIF('Inventory'!$A$4:$A$431,A341)=1</x:f>
        <x:v>1</x:v>
      </x:c>
      <x:c r="E341" s="54" t="b">
        <x:f>COUNTIF('Inventory'!$A$4:$A$431,B341)=1</x:f>
        <x:v>1</x:v>
      </x:c>
      <x:c r="F341" s="54" t="b">
        <x:f>A341=B341</x:f>
        <x:v>0</x:v>
      </x:c>
      <x:c r="G341" s="54" t="str">
        <x:f>IF(AND(D341,E341,NOT(F341),C341&gt;0),"OK","CHECK")</x:f>
        <x:v>OK</x:v>
      </x:c>
    </x:row>
    <x:row r="342">
      <x:c r="A342" s="54" t="str">
        <x:v>QAR-0009</x:v>
      </x:c>
      <x:c r="B342" s="54" t="str">
        <x:v>KIT-0033</x:v>
      </x:c>
      <x:c r="C342" s="63" t="n">
        <x:v>2</x:v>
      </x:c>
      <x:c r="D342" s="54" t="b">
        <x:f>COUNTIF('Inventory'!$A$4:$A$431,A342)=1</x:f>
        <x:v>1</x:v>
      </x:c>
      <x:c r="E342" s="54" t="b">
        <x:f>COUNTIF('Inventory'!$A$4:$A$431,B342)=1</x:f>
        <x:v>1</x:v>
      </x:c>
      <x:c r="F342" s="54" t="b">
        <x:f>A342=B342</x:f>
        <x:v>0</x:v>
      </x:c>
      <x:c r="G342" s="54" t="str">
        <x:f>IF(AND(D342,E342,NOT(F342),C342&gt;0),"OK","CHECK")</x:f>
        <x:v>OK</x:v>
      </x:c>
    </x:row>
    <x:row r="343">
      <x:c r="A343" s="54" t="str">
        <x:v>QAR-0009</x:v>
      </x:c>
      <x:c r="B343" s="54" t="str">
        <x:v>KIT-0034</x:v>
      </x:c>
      <x:c r="C343" s="63" t="n">
        <x:v>2</x:v>
      </x:c>
      <x:c r="D343" s="54" t="b">
        <x:f>COUNTIF('Inventory'!$A$4:$A$431,A343)=1</x:f>
        <x:v>1</x:v>
      </x:c>
      <x:c r="E343" s="54" t="b">
        <x:f>COUNTIF('Inventory'!$A$4:$A$431,B343)=1</x:f>
        <x:v>1</x:v>
      </x:c>
      <x:c r="F343" s="54" t="b">
        <x:f>A343=B343</x:f>
        <x:v>0</x:v>
      </x:c>
      <x:c r="G343" s="54" t="str">
        <x:f>IF(AND(D343,E343,NOT(F343),C343&gt;0),"OK","CHECK")</x:f>
        <x:v>OK</x:v>
      </x:c>
    </x:row>
    <x:row r="344">
      <x:c r="A344" s="54" t="str">
        <x:v>QAR-0009</x:v>
      </x:c>
      <x:c r="B344" s="54" t="str">
        <x:v>OFT-0018</x:v>
      </x:c>
      <x:c r="C344" s="63" t="n">
        <x:v>1</x:v>
      </x:c>
      <x:c r="D344" s="54" t="b">
        <x:f>COUNTIF('Inventory'!$A$4:$A$431,A344)=1</x:f>
        <x:v>1</x:v>
      </x:c>
      <x:c r="E344" s="54" t="b">
        <x:f>COUNTIF('Inventory'!$A$4:$A$431,B344)=1</x:f>
        <x:v>1</x:v>
      </x:c>
      <x:c r="F344" s="54" t="b">
        <x:f>A344=B344</x:f>
        <x:v>0</x:v>
      </x:c>
      <x:c r="G344" s="54" t="str">
        <x:f>IF(AND(D344,E344,NOT(F344),C344&gt;0),"OK","CHECK")</x:f>
        <x:v>OK</x:v>
      </x:c>
    </x:row>
    <x:row r="345">
      <x:c r="A345" s="54" t="str">
        <x:v>QAR-0009</x:v>
      </x:c>
      <x:c r="B345" s="54" t="str">
        <x:v>OFT-0019</x:v>
      </x:c>
      <x:c r="C345" s="63" t="n">
        <x:v>1</x:v>
      </x:c>
      <x:c r="D345" s="54" t="b">
        <x:f>COUNTIF('Inventory'!$A$4:$A$431,A345)=1</x:f>
        <x:v>1</x:v>
      </x:c>
      <x:c r="E345" s="54" t="b">
        <x:f>COUNTIF('Inventory'!$A$4:$A$431,B345)=1</x:f>
        <x:v>1</x:v>
      </x:c>
      <x:c r="F345" s="54" t="b">
        <x:f>A345=B345</x:f>
        <x:v>0</x:v>
      </x:c>
      <x:c r="G345" s="54" t="str">
        <x:f>IF(AND(D345,E345,NOT(F345),C345&gt;0),"OK","CHECK")</x:f>
        <x:v>OK</x:v>
      </x:c>
    </x:row>
    <x:row r="346">
      <x:c r="A346" s="54" t="str">
        <x:v>QAR-0009</x:v>
      </x:c>
      <x:c r="B346" s="54" t="str">
        <x:v>MAT-0019</x:v>
      </x:c>
      <x:c r="C346" s="63" t="n">
        <x:v>12</x:v>
      </x:c>
      <x:c r="D346" s="54" t="b">
        <x:f>COUNTIF('Inventory'!$A$4:$A$431,A346)=1</x:f>
        <x:v>1</x:v>
      </x:c>
      <x:c r="E346" s="54" t="b">
        <x:f>COUNTIF('Inventory'!$A$4:$A$431,B346)=1</x:f>
        <x:v>1</x:v>
      </x:c>
      <x:c r="F346" s="54" t="b">
        <x:f>A346=B346</x:f>
        <x:v>0</x:v>
      </x:c>
      <x:c r="G346" s="54" t="str">
        <x:f>IF(AND(D346,E346,NOT(F346),C346&gt;0),"OK","CHECK")</x:f>
        <x:v>OK</x:v>
      </x:c>
    </x:row>
    <x:row r="347">
      <x:c r="A347" s="54" t="str">
        <x:v>KIT-0033</x:v>
      </x:c>
      <x:c r="B347" s="54" t="str">
        <x:v>PRT-0124</x:v>
      </x:c>
      <x:c r="C347" s="63" t="n">
        <x:v>24</x:v>
      </x:c>
      <x:c r="D347" s="54" t="b">
        <x:f>COUNTIF('Inventory'!$A$4:$A$431,A347)=1</x:f>
        <x:v>1</x:v>
      </x:c>
      <x:c r="E347" s="54" t="b">
        <x:f>COUNTIF('Inventory'!$A$4:$A$431,B347)=1</x:f>
        <x:v>1</x:v>
      </x:c>
      <x:c r="F347" s="54" t="b">
        <x:f>A347=B347</x:f>
        <x:v>0</x:v>
      </x:c>
      <x:c r="G347" s="54" t="str">
        <x:f>IF(AND(D347,E347,NOT(F347),C347&gt;0),"OK","CHECK")</x:f>
        <x:v>OK</x:v>
      </x:c>
    </x:row>
    <x:row r="348">
      <x:c r="A348" s="54" t="str">
        <x:v>KIT-0033</x:v>
      </x:c>
      <x:c r="B348" s="54" t="str">
        <x:v>PRT-0125</x:v>
      </x:c>
      <x:c r="C348" s="63" t="n">
        <x:v>6</x:v>
      </x:c>
      <x:c r="D348" s="54" t="b">
        <x:f>COUNTIF('Inventory'!$A$4:$A$431,A348)=1</x:f>
        <x:v>1</x:v>
      </x:c>
      <x:c r="E348" s="54" t="b">
        <x:f>COUNTIF('Inventory'!$A$4:$A$431,B348)=1</x:f>
        <x:v>1</x:v>
      </x:c>
      <x:c r="F348" s="54" t="b">
        <x:f>A348=B348</x:f>
        <x:v>0</x:v>
      </x:c>
      <x:c r="G348" s="54" t="str">
        <x:f>IF(AND(D348,E348,NOT(F348),C348&gt;0),"OK","CHECK")</x:f>
        <x:v>OK</x:v>
      </x:c>
    </x:row>
    <x:row r="349">
      <x:c r="A349" s="54" t="str">
        <x:v>KIT-0033</x:v>
      </x:c>
      <x:c r="B349" s="54" t="str">
        <x:v>MAT-0012</x:v>
      </x:c>
      <x:c r="C349" s="63" t="n">
        <x:v>12</x:v>
      </x:c>
      <x:c r="D349" s="54" t="b">
        <x:f>COUNTIF('Inventory'!$A$4:$A$431,A349)=1</x:f>
        <x:v>1</x:v>
      </x:c>
      <x:c r="E349" s="54" t="b">
        <x:f>COUNTIF('Inventory'!$A$4:$A$431,B349)=1</x:f>
        <x:v>1</x:v>
      </x:c>
      <x:c r="F349" s="54" t="b">
        <x:f>A349=B349</x:f>
        <x:v>0</x:v>
      </x:c>
      <x:c r="G349" s="54" t="str">
        <x:f>IF(AND(D349,E349,NOT(F349),C349&gt;0),"OK","CHECK")</x:f>
        <x:v>OK</x:v>
      </x:c>
    </x:row>
    <x:row r="350">
      <x:c r="A350" s="54" t="str">
        <x:v>KIT-0033</x:v>
      </x:c>
      <x:c r="B350" s="54" t="str">
        <x:v>PRT-0128</x:v>
      </x:c>
      <x:c r="C350" s="63" t="n">
        <x:v>4</x:v>
      </x:c>
      <x:c r="D350" s="54" t="b">
        <x:f>COUNTIF('Inventory'!$A$4:$A$431,A350)=1</x:f>
        <x:v>1</x:v>
      </x:c>
      <x:c r="E350" s="54" t="b">
        <x:f>COUNTIF('Inventory'!$A$4:$A$431,B350)=1</x:f>
        <x:v>1</x:v>
      </x:c>
      <x:c r="F350" s="54" t="b">
        <x:f>A350=B350</x:f>
        <x:v>0</x:v>
      </x:c>
      <x:c r="G350" s="54" t="str">
        <x:f>IF(AND(D350,E350,NOT(F350),C350&gt;0),"OK","CHECK")</x:f>
        <x:v>OK</x:v>
      </x:c>
    </x:row>
    <x:row r="351">
      <x:c r="A351" s="54" t="str">
        <x:v>KIT-0033</x:v>
      </x:c>
      <x:c r="B351" s="54" t="str">
        <x:v>PRT-0126</x:v>
      </x:c>
      <x:c r="C351" s="63" t="n">
        <x:v>4</x:v>
      </x:c>
      <x:c r="D351" s="54" t="b">
        <x:f>COUNTIF('Inventory'!$A$4:$A$431,A351)=1</x:f>
        <x:v>1</x:v>
      </x:c>
      <x:c r="E351" s="54" t="b">
        <x:f>COUNTIF('Inventory'!$A$4:$A$431,B351)=1</x:f>
        <x:v>1</x:v>
      </x:c>
      <x:c r="F351" s="54" t="b">
        <x:f>A351=B351</x:f>
        <x:v>0</x:v>
      </x:c>
      <x:c r="G351" s="54" t="str">
        <x:f>IF(AND(D351,E351,NOT(F351),C351&gt;0),"OK","CHECK")</x:f>
        <x:v>OK</x:v>
      </x:c>
    </x:row>
    <x:row r="352">
      <x:c r="A352" s="54" t="str">
        <x:v>KIT-0033</x:v>
      </x:c>
      <x:c r="B352" s="54" t="str">
        <x:v>PRT-0127</x:v>
      </x:c>
      <x:c r="C352" s="63" t="n">
        <x:v>6</x:v>
      </x:c>
      <x:c r="D352" s="54" t="b">
        <x:f>COUNTIF('Inventory'!$A$4:$A$431,A352)=1</x:f>
        <x:v>1</x:v>
      </x:c>
      <x:c r="E352" s="54" t="b">
        <x:f>COUNTIF('Inventory'!$A$4:$A$431,B352)=1</x:f>
        <x:v>1</x:v>
      </x:c>
      <x:c r="F352" s="54" t="b">
        <x:f>A352=B352</x:f>
        <x:v>0</x:v>
      </x:c>
      <x:c r="G352" s="54" t="str">
        <x:f>IF(AND(D352,E352,NOT(F352),C352&gt;0),"OK","CHECK")</x:f>
        <x:v>OK</x:v>
      </x:c>
    </x:row>
    <x:row r="353">
      <x:c r="A353" s="54" t="str">
        <x:v>KIT-0034</x:v>
      </x:c>
      <x:c r="B353" s="54" t="str">
        <x:v>PRT-0126</x:v>
      </x:c>
      <x:c r="C353" s="63" t="n">
        <x:v>6</x:v>
      </x:c>
      <x:c r="D353" s="54" t="b">
        <x:f>COUNTIF('Inventory'!$A$4:$A$431,A353)=1</x:f>
        <x:v>1</x:v>
      </x:c>
      <x:c r="E353" s="54" t="b">
        <x:f>COUNTIF('Inventory'!$A$4:$A$431,B353)=1</x:f>
        <x:v>1</x:v>
      </x:c>
      <x:c r="F353" s="54" t="b">
        <x:f>A353=B353</x:f>
        <x:v>0</x:v>
      </x:c>
      <x:c r="G353" s="54" t="str">
        <x:f>IF(AND(D353,E353,NOT(F353),C353&gt;0),"OK","CHECK")</x:f>
        <x:v>OK</x:v>
      </x:c>
    </x:row>
    <x:row r="354">
      <x:c r="A354" s="54" t="str">
        <x:v>KIT-0034</x:v>
      </x:c>
      <x:c r="B354" s="54" t="str">
        <x:v>PRT-0127</x:v>
      </x:c>
      <x:c r="C354" s="63" t="n">
        <x:v>8</x:v>
      </x:c>
      <x:c r="D354" s="54" t="b">
        <x:f>COUNTIF('Inventory'!$A$4:$A$431,A354)=1</x:f>
        <x:v>1</x:v>
      </x:c>
      <x:c r="E354" s="54" t="b">
        <x:f>COUNTIF('Inventory'!$A$4:$A$431,B354)=1</x:f>
        <x:v>1</x:v>
      </x:c>
      <x:c r="F354" s="54" t="b">
        <x:f>A354=B354</x:f>
        <x:v>0</x:v>
      </x:c>
      <x:c r="G354" s="54" t="str">
        <x:f>IF(AND(D354,E354,NOT(F354),C354&gt;0),"OK","CHECK")</x:f>
        <x:v>OK</x:v>
      </x:c>
    </x:row>
    <x:row r="355">
      <x:c r="A355" s="54" t="str">
        <x:v>KIT-0034</x:v>
      </x:c>
      <x:c r="B355" s="54" t="str">
        <x:v>MAT-0015</x:v>
      </x:c>
      <x:c r="C355" s="63" t="n">
        <x:v>12</x:v>
      </x:c>
      <x:c r="D355" s="54" t="b">
        <x:f>COUNTIF('Inventory'!$A$4:$A$431,A355)=1</x:f>
        <x:v>1</x:v>
      </x:c>
      <x:c r="E355" s="54" t="b">
        <x:f>COUNTIF('Inventory'!$A$4:$A$431,B355)=1</x:f>
        <x:v>1</x:v>
      </x:c>
      <x:c r="F355" s="54" t="b">
        <x:f>A355=B355</x:f>
        <x:v>0</x:v>
      </x:c>
      <x:c r="G355" s="54" t="str">
        <x:f>IF(AND(D355,E355,NOT(F355),C355&gt;0),"OK","CHECK")</x:f>
        <x:v>OK</x:v>
      </x:c>
    </x:row>
    <x:row r="356">
      <x:c r="A356" s="54" t="str">
        <x:v>KIT-0034</x:v>
      </x:c>
      <x:c r="B356" s="54" t="str">
        <x:v>PRT-0081</x:v>
      </x:c>
      <x:c r="C356" s="63" t="n">
        <x:v>20</x:v>
      </x:c>
      <x:c r="D356" s="54" t="b">
        <x:f>COUNTIF('Inventory'!$A$4:$A$431,A356)=1</x:f>
        <x:v>1</x:v>
      </x:c>
      <x:c r="E356" s="54" t="b">
        <x:f>COUNTIF('Inventory'!$A$4:$A$431,B356)=1</x:f>
        <x:v>1</x:v>
      </x:c>
      <x:c r="F356" s="54" t="b">
        <x:f>A356=B356</x:f>
        <x:v>0</x:v>
      </x:c>
      <x:c r="G356" s="54" t="str">
        <x:f>IF(AND(D356,E356,NOT(F356),C356&gt;0),"OK","CHECK")</x:f>
        <x:v>OK</x:v>
      </x:c>
    </x:row>
    <x:row r="357">
      <x:c r="A357" s="54" t="str">
        <x:v>KIT-0034</x:v>
      </x:c>
      <x:c r="B357" s="54" t="str">
        <x:v>PRT-0082</x:v>
      </x:c>
      <x:c r="C357" s="63" t="n">
        <x:v>12</x:v>
      </x:c>
      <x:c r="D357" s="54" t="b">
        <x:f>COUNTIF('Inventory'!$A$4:$A$431,A357)=1</x:f>
        <x:v>1</x:v>
      </x:c>
      <x:c r="E357" s="54" t="b">
        <x:f>COUNTIF('Inventory'!$A$4:$A$431,B357)=1</x:f>
        <x:v>1</x:v>
      </x:c>
      <x:c r="F357" s="54" t="b">
        <x:f>A357=B357</x:f>
        <x:v>0</x:v>
      </x:c>
      <x:c r="G357" s="54" t="str">
        <x:f>IF(AND(D357,E357,NOT(F357),C357&gt;0),"OK","CHECK")</x:f>
        <x:v>OK</x:v>
      </x:c>
    </x:row>
    <x:row r="358">
      <x:c r="A358" s="54" t="str">
        <x:v>KIT-0034</x:v>
      </x:c>
      <x:c r="B358" s="54" t="str">
        <x:v>PRT-0086</x:v>
      </x:c>
      <x:c r="C358" s="63" t="n">
        <x:v>12</x:v>
      </x:c>
      <x:c r="D358" s="54" t="b">
        <x:f>COUNTIF('Inventory'!$A$4:$A$431,A358)=1</x:f>
        <x:v>1</x:v>
      </x:c>
      <x:c r="E358" s="54" t="b">
        <x:f>COUNTIF('Inventory'!$A$4:$A$431,B358)=1</x:f>
        <x:v>1</x:v>
      </x:c>
      <x:c r="F358" s="54" t="b">
        <x:f>A358=B358</x:f>
        <x:v>0</x:v>
      </x:c>
      <x:c r="G358" s="54" t="str">
        <x:f>IF(AND(D358,E358,NOT(F358),C358&gt;0),"OK","CHECK")</x:f>
        <x:v>OK</x:v>
      </x:c>
    </x:row>
    <x:row r="359">
      <x:c r="A359" s="54" t="str">
        <x:v>KIT-0034</x:v>
      </x:c>
      <x:c r="B359" s="54" t="str">
        <x:v>PRT-0087</x:v>
      </x:c>
      <x:c r="C359" s="63" t="n">
        <x:v>20</x:v>
      </x:c>
      <x:c r="D359" s="54" t="b">
        <x:f>COUNTIF('Inventory'!$A$4:$A$431,A359)=1</x:f>
        <x:v>1</x:v>
      </x:c>
      <x:c r="E359" s="54" t="b">
        <x:f>COUNTIF('Inventory'!$A$4:$A$431,B359)=1</x:f>
        <x:v>1</x:v>
      </x:c>
      <x:c r="F359" s="54" t="b">
        <x:f>A359=B359</x:f>
        <x:v>0</x:v>
      </x:c>
      <x:c r="G359" s="54" t="str">
        <x:f>IF(AND(D359,E359,NOT(F359),C359&gt;0),"OK","CHECK")</x:f>
        <x:v>OK</x:v>
      </x:c>
    </x:row>
    <x:row r="360">
      <x:c r="A360" s="54" t="str">
        <x:v>OFT-0018</x:v>
      </x:c>
      <x:c r="B360" s="54" t="str">
        <x:v>MAT-0013</x:v>
      </x:c>
      <x:c r="C360" s="63" t="n">
        <x:v>24</x:v>
      </x:c>
      <x:c r="D360" s="54" t="b">
        <x:f>COUNTIF('Inventory'!$A$4:$A$431,A360)=1</x:f>
        <x:v>1</x:v>
      </x:c>
      <x:c r="E360" s="54" t="b">
        <x:f>COUNTIF('Inventory'!$A$4:$A$431,B360)=1</x:f>
        <x:v>1</x:v>
      </x:c>
      <x:c r="F360" s="54" t="b">
        <x:f>A360=B360</x:f>
        <x:v>0</x:v>
      </x:c>
      <x:c r="G360" s="54" t="str">
        <x:f>IF(AND(D360,E360,NOT(F360),C360&gt;0),"OK","CHECK")</x:f>
        <x:v>OK</x:v>
      </x:c>
    </x:row>
    <x:row r="361">
      <x:c r="A361" s="54" t="str">
        <x:v>OFT-0018</x:v>
      </x:c>
      <x:c r="B361" s="54" t="str">
        <x:v>MAT-0014</x:v>
      </x:c>
      <x:c r="C361" s="63" t="n">
        <x:v>12</x:v>
      </x:c>
      <x:c r="D361" s="54" t="b">
        <x:f>COUNTIF('Inventory'!$A$4:$A$431,A361)=1</x:f>
        <x:v>1</x:v>
      </x:c>
      <x:c r="E361" s="54" t="b">
        <x:f>COUNTIF('Inventory'!$A$4:$A$431,B361)=1</x:f>
        <x:v>1</x:v>
      </x:c>
      <x:c r="F361" s="54" t="b">
        <x:f>A361=B361</x:f>
        <x:v>0</x:v>
      </x:c>
      <x:c r="G361" s="54" t="str">
        <x:f>IF(AND(D361,E361,NOT(F361),C361&gt;0),"OK","CHECK")</x:f>
        <x:v>OK</x:v>
      </x:c>
    </x:row>
    <x:row r="362">
      <x:c r="A362" s="54" t="str">
        <x:v>OFT-0019</x:v>
      </x:c>
      <x:c r="B362" s="54" t="str">
        <x:v>MAT-0016</x:v>
      </x:c>
      <x:c r="C362" s="63" t="n">
        <x:v>30</x:v>
      </x:c>
      <x:c r="D362" s="54" t="b">
        <x:f>COUNTIF('Inventory'!$A$4:$A$431,A362)=1</x:f>
        <x:v>1</x:v>
      </x:c>
      <x:c r="E362" s="54" t="b">
        <x:f>COUNTIF('Inventory'!$A$4:$A$431,B362)=1</x:f>
        <x:v>1</x:v>
      </x:c>
      <x:c r="F362" s="54" t="b">
        <x:f>A362=B362</x:f>
        <x:v>0</x:v>
      </x:c>
      <x:c r="G362" s="54" t="str">
        <x:f>IF(AND(D362,E362,NOT(F362),C362&gt;0),"OK","CHECK")</x:f>
        <x:v>OK</x:v>
      </x:c>
    </x:row>
    <x:row r="363">
      <x:c r="A363" s="54" t="str">
        <x:v>OFT-0019</x:v>
      </x:c>
      <x:c r="B363" s="54" t="str">
        <x:v>MAT-0017</x:v>
      </x:c>
      <x:c r="C363" s="63" t="n">
        <x:v>20</x:v>
      </x:c>
      <x:c r="D363" s="54" t="b">
        <x:f>COUNTIF('Inventory'!$A$4:$A$431,A363)=1</x:f>
        <x:v>1</x:v>
      </x:c>
      <x:c r="E363" s="54" t="b">
        <x:f>COUNTIF('Inventory'!$A$4:$A$431,B363)=1</x:f>
        <x:v>1</x:v>
      </x:c>
      <x:c r="F363" s="54" t="b">
        <x:f>A363=B363</x:f>
        <x:v>0</x:v>
      </x:c>
      <x:c r="G363" s="54" t="str">
        <x:f>IF(AND(D363,E363,NOT(F363),C363&gt;0),"OK","CHECK")</x:f>
        <x:v>OK</x:v>
      </x:c>
    </x:row>
    <x:row r="364">
      <x:c r="A364" s="54" t="str">
        <x:v>OFT-0019</x:v>
      </x:c>
      <x:c r="B364" s="54" t="str">
        <x:v>MAT-0018</x:v>
      </x:c>
      <x:c r="C364" s="63" t="n">
        <x:v>10</x:v>
      </x:c>
      <x:c r="D364" s="54" t="b">
        <x:f>COUNTIF('Inventory'!$A$4:$A$431,A364)=1</x:f>
        <x:v>1</x:v>
      </x:c>
      <x:c r="E364" s="54" t="b">
        <x:f>COUNTIF('Inventory'!$A$4:$A$431,B364)=1</x:f>
        <x:v>1</x:v>
      </x:c>
      <x:c r="F364" s="54" t="b">
        <x:f>A364=B364</x:f>
        <x:v>0</x:v>
      </x:c>
      <x:c r="G364" s="54" t="str">
        <x:f>IF(AND(D364,E364,NOT(F364),C364&gt;0),"OK","CHECK")</x:f>
        <x:v>OK</x:v>
      </x:c>
    </x:row>
    <x:row r="365">
      <x:c r="A365" s="54" t="str">
        <x:v>OFT-0019</x:v>
      </x:c>
      <x:c r="B365" s="54" t="str">
        <x:v>MAT-0015</x:v>
      </x:c>
      <x:c r="C365" s="63" t="n">
        <x:v>20</x:v>
      </x:c>
      <x:c r="D365" s="54" t="b">
        <x:f>COUNTIF('Inventory'!$A$4:$A$431,A365)=1</x:f>
        <x:v>1</x:v>
      </x:c>
      <x:c r="E365" s="54" t="b">
        <x:f>COUNTIF('Inventory'!$A$4:$A$431,B365)=1</x:f>
        <x:v>1</x:v>
      </x:c>
      <x:c r="F365" s="54" t="b">
        <x:f>A365=B365</x:f>
        <x:v>0</x:v>
      </x:c>
      <x:c r="G365" s="54" t="str">
        <x:f>IF(AND(D365,E365,NOT(F365),C365&gt;0),"OK","CHECK")</x:f>
        <x:v>OK</x:v>
      </x:c>
    </x:row>
    <x:row r="366">
      <x:c r="A366" s="54" t="str">
        <x:v>QAR-0010</x:v>
      </x:c>
      <x:c r="B366" s="54" t="str">
        <x:v>KIT-0035</x:v>
      </x:c>
      <x:c r="C366" s="63" t="n">
        <x:v>1</x:v>
      </x:c>
      <x:c r="D366" s="54" t="b">
        <x:f>COUNTIF('Inventory'!$A$4:$A$431,A366)=1</x:f>
        <x:v>1</x:v>
      </x:c>
      <x:c r="E366" s="54" t="b">
        <x:f>COUNTIF('Inventory'!$A$4:$A$431,B366)=1</x:f>
        <x:v>1</x:v>
      </x:c>
      <x:c r="F366" s="54" t="b">
        <x:f>A366=B366</x:f>
        <x:v>0</x:v>
      </x:c>
      <x:c r="G366" s="54" t="str">
        <x:f>IF(AND(D366,E366,NOT(F366),C366&gt;0),"OK","CHECK")</x:f>
        <x:v>OK</x:v>
      </x:c>
    </x:row>
    <x:row r="367">
      <x:c r="A367" s="54" t="str">
        <x:v>QAR-0010</x:v>
      </x:c>
      <x:c r="B367" s="54" t="str">
        <x:v>KIT-0036</x:v>
      </x:c>
      <x:c r="C367" s="63" t="n">
        <x:v>1</x:v>
      </x:c>
      <x:c r="D367" s="54" t="b">
        <x:f>COUNTIF('Inventory'!$A$4:$A$431,A367)=1</x:f>
        <x:v>1</x:v>
      </x:c>
      <x:c r="E367" s="54" t="b">
        <x:f>COUNTIF('Inventory'!$A$4:$A$431,B367)=1</x:f>
        <x:v>1</x:v>
      </x:c>
      <x:c r="F367" s="54" t="b">
        <x:f>A367=B367</x:f>
        <x:v>0</x:v>
      </x:c>
      <x:c r="G367" s="54" t="str">
        <x:f>IF(AND(D367,E367,NOT(F367),C367&gt;0),"OK","CHECK")</x:f>
        <x:v>OK</x:v>
      </x:c>
    </x:row>
    <x:row r="368">
      <x:c r="A368" s="54" t="str">
        <x:v>QAR-0010</x:v>
      </x:c>
      <x:c r="B368" s="54" t="str">
        <x:v>KIT-0037</x:v>
      </x:c>
      <x:c r="C368" s="63" t="n">
        <x:v>2</x:v>
      </x:c>
      <x:c r="D368" s="54" t="b">
        <x:f>COUNTIF('Inventory'!$A$4:$A$431,A368)=1</x:f>
        <x:v>1</x:v>
      </x:c>
      <x:c r="E368" s="54" t="b">
        <x:f>COUNTIF('Inventory'!$A$4:$A$431,B368)=1</x:f>
        <x:v>1</x:v>
      </x:c>
      <x:c r="F368" s="54" t="b">
        <x:f>A368=B368</x:f>
        <x:v>0</x:v>
      </x:c>
      <x:c r="G368" s="54" t="str">
        <x:f>IF(AND(D368,E368,NOT(F368),C368&gt;0),"OK","CHECK")</x:f>
        <x:v>OK</x:v>
      </x:c>
    </x:row>
    <x:row r="369">
      <x:c r="A369" s="54" t="str">
        <x:v>QAR-0010</x:v>
      </x:c>
      <x:c r="B369" s="54" t="str">
        <x:v>OFT-0020</x:v>
      </x:c>
      <x:c r="C369" s="63" t="n">
        <x:v>1</x:v>
      </x:c>
      <x:c r="D369" s="54" t="b">
        <x:f>COUNTIF('Inventory'!$A$4:$A$431,A369)=1</x:f>
        <x:v>1</x:v>
      </x:c>
      <x:c r="E369" s="54" t="b">
        <x:f>COUNTIF('Inventory'!$A$4:$A$431,B369)=1</x:f>
        <x:v>1</x:v>
      </x:c>
      <x:c r="F369" s="54" t="b">
        <x:f>A369=B369</x:f>
        <x:v>0</x:v>
      </x:c>
      <x:c r="G369" s="54" t="str">
        <x:f>IF(AND(D369,E369,NOT(F369),C369&gt;0),"OK","CHECK")</x:f>
        <x:v>OK</x:v>
      </x:c>
    </x:row>
    <x:row r="370">
      <x:c r="A370" s="54" t="str">
        <x:v>QAR-0010</x:v>
      </x:c>
      <x:c r="B370" s="54" t="str">
        <x:v>LBL-0006</x:v>
      </x:c>
      <x:c r="C370" s="63" t="n">
        <x:v>4</x:v>
      </x:c>
      <x:c r="D370" s="54" t="b">
        <x:f>COUNTIF('Inventory'!$A$4:$A$431,A370)=1</x:f>
        <x:v>1</x:v>
      </x:c>
      <x:c r="E370" s="54" t="b">
        <x:f>COUNTIF('Inventory'!$A$4:$A$431,B370)=1</x:f>
        <x:v>1</x:v>
      </x:c>
      <x:c r="F370" s="54" t="b">
        <x:f>A370=B370</x:f>
        <x:v>0</x:v>
      </x:c>
      <x:c r="G370" s="54" t="str">
        <x:f>IF(AND(D370,E370,NOT(F370),C370&gt;0),"OK","CHECK")</x:f>
        <x:v>OK</x:v>
      </x:c>
    </x:row>
    <x:row r="371">
      <x:c r="A371" s="54" t="str">
        <x:v>KIT-0035</x:v>
      </x:c>
      <x:c r="B371" s="54" t="str">
        <x:v>ASM-0039</x:v>
      </x:c>
      <x:c r="C371" s="63" t="n">
        <x:v>1</x:v>
      </x:c>
      <x:c r="D371" s="54" t="b">
        <x:f>COUNTIF('Inventory'!$A$4:$A$431,A371)=1</x:f>
        <x:v>1</x:v>
      </x:c>
      <x:c r="E371" s="54" t="b">
        <x:f>COUNTIF('Inventory'!$A$4:$A$431,B371)=1</x:f>
        <x:v>1</x:v>
      </x:c>
      <x:c r="F371" s="54" t="b">
        <x:f>A371=B371</x:f>
        <x:v>0</x:v>
      </x:c>
      <x:c r="G371" s="54" t="str">
        <x:f>IF(AND(D371,E371,NOT(F371),C371&gt;0),"OK","CHECK")</x:f>
        <x:v>OK</x:v>
      </x:c>
    </x:row>
    <x:row r="372">
      <x:c r="A372" s="54" t="str">
        <x:v>KIT-0035</x:v>
      </x:c>
      <x:c r="B372" s="54" t="str">
        <x:v>PRT-0129</x:v>
      </x:c>
      <x:c r="C372" s="63" t="n">
        <x:v>2</x:v>
      </x:c>
      <x:c r="D372" s="54" t="b">
        <x:f>COUNTIF('Inventory'!$A$4:$A$431,A372)=1</x:f>
        <x:v>1</x:v>
      </x:c>
      <x:c r="E372" s="54" t="b">
        <x:f>COUNTIF('Inventory'!$A$4:$A$431,B372)=1</x:f>
        <x:v>1</x:v>
      </x:c>
      <x:c r="F372" s="54" t="b">
        <x:f>A372=B372</x:f>
        <x:v>0</x:v>
      </x:c>
      <x:c r="G372" s="54" t="str">
        <x:f>IF(AND(D372,E372,NOT(F372),C372&gt;0),"OK","CHECK")</x:f>
        <x:v>OK</x:v>
      </x:c>
    </x:row>
    <x:row r="373">
      <x:c r="A373" s="54" t="str">
        <x:v>KIT-0035</x:v>
      </x:c>
      <x:c r="B373" s="54" t="str">
        <x:v>PRT-0130</x:v>
      </x:c>
      <x:c r="C373" s="63" t="n">
        <x:v>2</x:v>
      </x:c>
      <x:c r="D373" s="54" t="b">
        <x:f>COUNTIF('Inventory'!$A$4:$A$431,A373)=1</x:f>
        <x:v>1</x:v>
      </x:c>
      <x:c r="E373" s="54" t="b">
        <x:f>COUNTIF('Inventory'!$A$4:$A$431,B373)=1</x:f>
        <x:v>1</x:v>
      </x:c>
      <x:c r="F373" s="54" t="b">
        <x:f>A373=B373</x:f>
        <x:v>0</x:v>
      </x:c>
      <x:c r="G373" s="54" t="str">
        <x:f>IF(AND(D373,E373,NOT(F373),C373&gt;0),"OK","CHECK")</x:f>
        <x:v>OK</x:v>
      </x:c>
    </x:row>
    <x:row r="374">
      <x:c r="A374" s="54" t="str">
        <x:v>KIT-0035</x:v>
      </x:c>
      <x:c r="B374" s="54" t="str">
        <x:v>KIT-0038</x:v>
      </x:c>
      <x:c r="C374" s="63" t="n">
        <x:v>2</x:v>
      </x:c>
      <x:c r="D374" s="54" t="b">
        <x:f>COUNTIF('Inventory'!$A$4:$A$431,A374)=1</x:f>
        <x:v>1</x:v>
      </x:c>
      <x:c r="E374" s="54" t="b">
        <x:f>COUNTIF('Inventory'!$A$4:$A$431,B374)=1</x:f>
        <x:v>1</x:v>
      </x:c>
      <x:c r="F374" s="54" t="b">
        <x:f>A374=B374</x:f>
        <x:v>0</x:v>
      </x:c>
      <x:c r="G374" s="54" t="str">
        <x:f>IF(AND(D374,E374,NOT(F374),C374&gt;0),"OK","CHECK")</x:f>
        <x:v>OK</x:v>
      </x:c>
    </x:row>
    <x:row r="375">
      <x:c r="A375" s="54" t="str">
        <x:v>KIT-0035</x:v>
      </x:c>
      <x:c r="B375" s="54" t="str">
        <x:v>PRT-0131</x:v>
      </x:c>
      <x:c r="C375" s="63" t="n">
        <x:v>4</x:v>
      </x:c>
      <x:c r="D375" s="54" t="b">
        <x:f>COUNTIF('Inventory'!$A$4:$A$431,A375)=1</x:f>
        <x:v>1</x:v>
      </x:c>
      <x:c r="E375" s="54" t="b">
        <x:f>COUNTIF('Inventory'!$A$4:$A$431,B375)=1</x:f>
        <x:v>1</x:v>
      </x:c>
      <x:c r="F375" s="54" t="b">
        <x:f>A375=B375</x:f>
        <x:v>0</x:v>
      </x:c>
      <x:c r="G375" s="54" t="str">
        <x:f>IF(AND(D375,E375,NOT(F375),C375&gt;0),"OK","CHECK")</x:f>
        <x:v>OK</x:v>
      </x:c>
    </x:row>
    <x:row r="376">
      <x:c r="A376" s="54" t="str">
        <x:v>KIT-0035</x:v>
      </x:c>
      <x:c r="B376" s="54" t="str">
        <x:v>KIT-0039</x:v>
      </x:c>
      <x:c r="C376" s="63" t="n">
        <x:v>2</x:v>
      </x:c>
      <x:c r="D376" s="54" t="b">
        <x:f>COUNTIF('Inventory'!$A$4:$A$431,A376)=1</x:f>
        <x:v>1</x:v>
      </x:c>
      <x:c r="E376" s="54" t="b">
        <x:f>COUNTIF('Inventory'!$A$4:$A$431,B376)=1</x:f>
        <x:v>1</x:v>
      </x:c>
      <x:c r="F376" s="54" t="b">
        <x:f>A376=B376</x:f>
        <x:v>0</x:v>
      </x:c>
      <x:c r="G376" s="54" t="str">
        <x:f>IF(AND(D376,E376,NOT(F376),C376&gt;0),"OK","CHECK")</x:f>
        <x:v>OK</x:v>
      </x:c>
    </x:row>
    <x:row r="377">
      <x:c r="A377" s="54" t="str">
        <x:v>KIT-0036</x:v>
      </x:c>
      <x:c r="B377" s="54" t="str">
        <x:v>PKG-0007</x:v>
      </x:c>
      <x:c r="C377" s="63" t="n">
        <x:v>24</x:v>
      </x:c>
      <x:c r="D377" s="54" t="b">
        <x:f>COUNTIF('Inventory'!$A$4:$A$431,A377)=1</x:f>
        <x:v>1</x:v>
      </x:c>
      <x:c r="E377" s="54" t="b">
        <x:f>COUNTIF('Inventory'!$A$4:$A$431,B377)=1</x:f>
        <x:v>1</x:v>
      </x:c>
      <x:c r="F377" s="54" t="b">
        <x:f>A377=B377</x:f>
        <x:v>0</x:v>
      </x:c>
      <x:c r="G377" s="54" t="str">
        <x:f>IF(AND(D377,E377,NOT(F377),C377&gt;0),"OK","CHECK")</x:f>
        <x:v>OK</x:v>
      </x:c>
    </x:row>
    <x:row r="378">
      <x:c r="A378" s="54" t="str">
        <x:v>KIT-0036</x:v>
      </x:c>
      <x:c r="B378" s="54" t="str">
        <x:v>PKG-0008</x:v>
      </x:c>
      <x:c r="C378" s="63" t="n">
        <x:v>12</x:v>
      </x:c>
      <x:c r="D378" s="54" t="b">
        <x:f>COUNTIF('Inventory'!$A$4:$A$431,A378)=1</x:f>
        <x:v>1</x:v>
      </x:c>
      <x:c r="E378" s="54" t="b">
        <x:f>COUNTIF('Inventory'!$A$4:$A$431,B378)=1</x:f>
        <x:v>1</x:v>
      </x:c>
      <x:c r="F378" s="54" t="b">
        <x:f>A378=B378</x:f>
        <x:v>0</x:v>
      </x:c>
      <x:c r="G378" s="54" t="str">
        <x:f>IF(AND(D378,E378,NOT(F378),C378&gt;0),"OK","CHECK")</x:f>
        <x:v>OK</x:v>
      </x:c>
    </x:row>
    <x:row r="379">
      <x:c r="A379" s="54" t="str">
        <x:v>KIT-0036</x:v>
      </x:c>
      <x:c r="B379" s="54" t="str">
        <x:v>MAT-0022</x:v>
      </x:c>
      <x:c r="C379" s="63" t="n">
        <x:v>4</x:v>
      </x:c>
      <x:c r="D379" s="54" t="b">
        <x:f>COUNTIF('Inventory'!$A$4:$A$431,A379)=1</x:f>
        <x:v>1</x:v>
      </x:c>
      <x:c r="E379" s="54" t="b">
        <x:f>COUNTIF('Inventory'!$A$4:$A$431,B379)=1</x:f>
        <x:v>1</x:v>
      </x:c>
      <x:c r="F379" s="54" t="b">
        <x:f>A379=B379</x:f>
        <x:v>0</x:v>
      </x:c>
      <x:c r="G379" s="54" t="str">
        <x:f>IF(AND(D379,E379,NOT(F379),C379&gt;0),"OK","CHECK")</x:f>
        <x:v>OK</x:v>
      </x:c>
    </x:row>
    <x:row r="380">
      <x:c r="A380" s="54" t="str">
        <x:v>KIT-0036</x:v>
      </x:c>
      <x:c r="B380" s="54" t="str">
        <x:v>MAT-0023</x:v>
      </x:c>
      <x:c r="C380" s="63" t="n">
        <x:v>4</x:v>
      </x:c>
      <x:c r="D380" s="54" t="b">
        <x:f>COUNTIF('Inventory'!$A$4:$A$431,A380)=1</x:f>
        <x:v>1</x:v>
      </x:c>
      <x:c r="E380" s="54" t="b">
        <x:f>COUNTIF('Inventory'!$A$4:$A$431,B380)=1</x:f>
        <x:v>1</x:v>
      </x:c>
      <x:c r="F380" s="54" t="b">
        <x:f>A380=B380</x:f>
        <x:v>0</x:v>
      </x:c>
      <x:c r="G380" s="54" t="str">
        <x:f>IF(AND(D380,E380,NOT(F380),C380&gt;0),"OK","CHECK")</x:f>
        <x:v>OK</x:v>
      </x:c>
    </x:row>
    <x:row r="381">
      <x:c r="A381" s="54" t="str">
        <x:v>KIT-0036</x:v>
      </x:c>
      <x:c r="B381" s="54" t="str">
        <x:v>MAT-0024</x:v>
      </x:c>
      <x:c r="C381" s="63" t="n">
        <x:v>2</x:v>
      </x:c>
      <x:c r="D381" s="54" t="b">
        <x:f>COUNTIF('Inventory'!$A$4:$A$431,A381)=1</x:f>
        <x:v>1</x:v>
      </x:c>
      <x:c r="E381" s="54" t="b">
        <x:f>COUNTIF('Inventory'!$A$4:$A$431,B381)=1</x:f>
        <x:v>1</x:v>
      </x:c>
      <x:c r="F381" s="54" t="b">
        <x:f>A381=B381</x:f>
        <x:v>0</x:v>
      </x:c>
      <x:c r="G381" s="54" t="str">
        <x:f>IF(AND(D381,E381,NOT(F381),C381&gt;0),"OK","CHECK")</x:f>
        <x:v>OK</x:v>
      </x:c>
    </x:row>
    <x:row r="382">
      <x:c r="A382" s="54" t="str">
        <x:v>KIT-0036</x:v>
      </x:c>
      <x:c r="B382" s="54" t="str">
        <x:v>MAT-0025</x:v>
      </x:c>
      <x:c r="C382" s="63" t="n">
        <x:v>6</x:v>
      </x:c>
      <x:c r="D382" s="54" t="b">
        <x:f>COUNTIF('Inventory'!$A$4:$A$431,A382)=1</x:f>
        <x:v>1</x:v>
      </x:c>
      <x:c r="E382" s="54" t="b">
        <x:f>COUNTIF('Inventory'!$A$4:$A$431,B382)=1</x:f>
        <x:v>1</x:v>
      </x:c>
      <x:c r="F382" s="54" t="b">
        <x:f>A382=B382</x:f>
        <x:v>0</x:v>
      </x:c>
      <x:c r="G382" s="54" t="str">
        <x:f>IF(AND(D382,E382,NOT(F382),C382&gt;0),"OK","CHECK")</x:f>
        <x:v>OK</x:v>
      </x:c>
    </x:row>
    <x:row r="383">
      <x:c r="A383" s="54" t="str">
        <x:v>KIT-0036</x:v>
      </x:c>
      <x:c r="B383" s="54" t="str">
        <x:v>LBL-0006</x:v>
      </x:c>
      <x:c r="C383" s="63" t="n">
        <x:v>1</x:v>
      </x:c>
      <x:c r="D383" s="54" t="b">
        <x:f>COUNTIF('Inventory'!$A$4:$A$431,A383)=1</x:f>
        <x:v>1</x:v>
      </x:c>
      <x:c r="E383" s="54" t="b">
        <x:f>COUNTIF('Inventory'!$A$4:$A$431,B383)=1</x:f>
        <x:v>1</x:v>
      </x:c>
      <x:c r="F383" s="54" t="b">
        <x:f>A383=B383</x:f>
        <x:v>0</x:v>
      </x:c>
      <x:c r="G383" s="54" t="str">
        <x:f>IF(AND(D383,E383,NOT(F383),C383&gt;0),"OK","CHECK")</x:f>
        <x:v>OK</x:v>
      </x:c>
    </x:row>
    <x:row r="384">
      <x:c r="A384" s="54" t="str">
        <x:v>KIT-0037</x:v>
      </x:c>
      <x:c r="B384" s="54" t="str">
        <x:v>MAT-0020</x:v>
      </x:c>
      <x:c r="C384" s="63" t="n">
        <x:v>60</x:v>
      </x:c>
      <x:c r="D384" s="54" t="b">
        <x:f>COUNTIF('Inventory'!$A$4:$A$431,A384)=1</x:f>
        <x:v>1</x:v>
      </x:c>
      <x:c r="E384" s="54" t="b">
        <x:f>COUNTIF('Inventory'!$A$4:$A$431,B384)=1</x:f>
        <x:v>1</x:v>
      </x:c>
      <x:c r="F384" s="54" t="b">
        <x:f>A384=B384</x:f>
        <x:v>0</x:v>
      </x:c>
      <x:c r="G384" s="54" t="str">
        <x:f>IF(AND(D384,E384,NOT(F384),C384&gt;0),"OK","CHECK")</x:f>
        <x:v>OK</x:v>
      </x:c>
    </x:row>
    <x:row r="385">
      <x:c r="A385" s="54" t="str">
        <x:v>KIT-0037</x:v>
      </x:c>
      <x:c r="B385" s="54" t="str">
        <x:v>MAT-0021</x:v>
      </x:c>
      <x:c r="C385" s="63" t="n">
        <x:v>20</x:v>
      </x:c>
      <x:c r="D385" s="54" t="b">
        <x:f>COUNTIF('Inventory'!$A$4:$A$431,A385)=1</x:f>
        <x:v>1</x:v>
      </x:c>
      <x:c r="E385" s="54" t="b">
        <x:f>COUNTIF('Inventory'!$A$4:$A$431,B385)=1</x:f>
        <x:v>1</x:v>
      </x:c>
      <x:c r="F385" s="54" t="b">
        <x:f>A385=B385</x:f>
        <x:v>0</x:v>
      </x:c>
      <x:c r="G385" s="54" t="str">
        <x:f>IF(AND(D385,E385,NOT(F385),C385&gt;0),"OK","CHECK")</x:f>
        <x:v>OK</x:v>
      </x:c>
    </x:row>
    <x:row r="386">
      <x:c r="A386" s="54" t="str">
        <x:v>KIT-0037</x:v>
      </x:c>
      <x:c r="B386" s="54" t="str">
        <x:v>PRT-0133</x:v>
      </x:c>
      <x:c r="C386" s="63" t="n">
        <x:v>12</x:v>
      </x:c>
      <x:c r="D386" s="54" t="b">
        <x:f>COUNTIF('Inventory'!$A$4:$A$431,A386)=1</x:f>
        <x:v>1</x:v>
      </x:c>
      <x:c r="E386" s="54" t="b">
        <x:f>COUNTIF('Inventory'!$A$4:$A$431,B386)=1</x:f>
        <x:v>1</x:v>
      </x:c>
      <x:c r="F386" s="54" t="b">
        <x:f>A386=B386</x:f>
        <x:v>0</x:v>
      </x:c>
      <x:c r="G386" s="54" t="str">
        <x:f>IF(AND(D386,E386,NOT(F386),C386&gt;0),"OK","CHECK")</x:f>
        <x:v>OK</x:v>
      </x:c>
    </x:row>
    <x:row r="387">
      <x:c r="A387" s="54" t="str">
        <x:v>KIT-0037</x:v>
      </x:c>
      <x:c r="B387" s="54" t="str">
        <x:v>PRT-0132</x:v>
      </x:c>
      <x:c r="C387" s="63" t="n">
        <x:v>16</x:v>
      </x:c>
      <x:c r="D387" s="54" t="b">
        <x:f>COUNTIF('Inventory'!$A$4:$A$431,A387)=1</x:f>
        <x:v>1</x:v>
      </x:c>
      <x:c r="E387" s="54" t="b">
        <x:f>COUNTIF('Inventory'!$A$4:$A$431,B387)=1</x:f>
        <x:v>1</x:v>
      </x:c>
      <x:c r="F387" s="54" t="b">
        <x:f>A387=B387</x:f>
        <x:v>0</x:v>
      </x:c>
      <x:c r="G387" s="54" t="str">
        <x:f>IF(AND(D387,E387,NOT(F387),C387&gt;0),"OK","CHECK")</x:f>
        <x:v>OK</x:v>
      </x:c>
    </x:row>
    <x:row r="388">
      <x:c r="A388" s="54" t="str">
        <x:v>KIT-0037</x:v>
      </x:c>
      <x:c r="B388" s="54" t="str">
        <x:v>LBL-0006</x:v>
      </x:c>
      <x:c r="C388" s="63" t="n">
        <x:v>1</x:v>
      </x:c>
      <x:c r="D388" s="54" t="b">
        <x:f>COUNTIF('Inventory'!$A$4:$A$431,A388)=1</x:f>
        <x:v>1</x:v>
      </x:c>
      <x:c r="E388" s="54" t="b">
        <x:f>COUNTIF('Inventory'!$A$4:$A$431,B388)=1</x:f>
        <x:v>1</x:v>
      </x:c>
      <x:c r="F388" s="54" t="b">
        <x:f>A388=B388</x:f>
        <x:v>0</x:v>
      </x:c>
      <x:c r="G388" s="54" t="str">
        <x:f>IF(AND(D388,E388,NOT(F388),C388&gt;0),"OK","CHECK")</x:f>
        <x:v>OK</x:v>
      </x:c>
    </x:row>
    <x:row r="389">
      <x:c r="A389" s="54" t="str">
        <x:v>OFT-0020</x:v>
      </x:c>
      <x:c r="B389" s="54" t="str">
        <x:v>ASM-0040</x:v>
      </x:c>
      <x:c r="C389" s="63" t="n">
        <x:v>12</x:v>
      </x:c>
      <x:c r="D389" s="54" t="b">
        <x:f>COUNTIF('Inventory'!$A$4:$A$431,A389)=1</x:f>
        <x:v>1</x:v>
      </x:c>
      <x:c r="E389" s="54" t="b">
        <x:f>COUNTIF('Inventory'!$A$4:$A$431,B389)=1</x:f>
        <x:v>1</x:v>
      </x:c>
      <x:c r="F389" s="54" t="b">
        <x:f>A389=B389</x:f>
        <x:v>0</x:v>
      </x:c>
      <x:c r="G389" s="54" t="str">
        <x:f>IF(AND(D389,E389,NOT(F389),C389&gt;0),"OK","CHECK")</x:f>
        <x:v>OK</x:v>
      </x:c>
    </x:row>
    <x:row r="390">
      <x:c r="A390" s="54" t="str">
        <x:v>OFT-0020</x:v>
      </x:c>
      <x:c r="B390" s="54" t="str">
        <x:v>PRT-0134</x:v>
      </x:c>
      <x:c r="C390" s="63" t="n">
        <x:v>12</x:v>
      </x:c>
      <x:c r="D390" s="54" t="b">
        <x:f>COUNTIF('Inventory'!$A$4:$A$431,A390)=1</x:f>
        <x:v>1</x:v>
      </x:c>
      <x:c r="E390" s="54" t="b">
        <x:f>COUNTIF('Inventory'!$A$4:$A$431,B390)=1</x:f>
        <x:v>1</x:v>
      </x:c>
      <x:c r="F390" s="54" t="b">
        <x:f>A390=B390</x:f>
        <x:v>0</x:v>
      </x:c>
      <x:c r="G390" s="54" t="str">
        <x:f>IF(AND(D390,E390,NOT(F390),C390&gt;0),"OK","CHECK")</x:f>
        <x:v>OK</x:v>
      </x:c>
    </x:row>
    <x:row r="391">
      <x:c r="A391" s="54" t="str">
        <x:v>QAR-0011</x:v>
      </x:c>
      <x:c r="B391" s="54" t="str">
        <x:v>ASM-0041</x:v>
      </x:c>
      <x:c r="C391" s="63" t="n">
        <x:v>1</x:v>
      </x:c>
      <x:c r="D391" s="54" t="b">
        <x:f>COUNTIF('Inventory'!$A$4:$A$431,A391)=1</x:f>
        <x:v>1</x:v>
      </x:c>
      <x:c r="E391" s="54" t="b">
        <x:f>COUNTIF('Inventory'!$A$4:$A$431,B391)=1</x:f>
        <x:v>1</x:v>
      </x:c>
      <x:c r="F391" s="54" t="b">
        <x:f>A391=B391</x:f>
        <x:v>0</x:v>
      </x:c>
      <x:c r="G391" s="54" t="str">
        <x:f>IF(AND(D391,E391,NOT(F391),C391&gt;0),"OK","CHECK")</x:f>
        <x:v>OK</x:v>
      </x:c>
    </x:row>
    <x:row r="392">
      <x:c r="A392" s="54" t="str">
        <x:v>QAR-0011</x:v>
      </x:c>
      <x:c r="B392" s="54" t="str">
        <x:v>OFT-0021</x:v>
      </x:c>
      <x:c r="C392" s="63" t="n">
        <x:v>1</x:v>
      </x:c>
      <x:c r="D392" s="54" t="b">
        <x:f>COUNTIF('Inventory'!$A$4:$A$431,A392)=1</x:f>
        <x:v>1</x:v>
      </x:c>
      <x:c r="E392" s="54" t="b">
        <x:f>COUNTIF('Inventory'!$A$4:$A$431,B392)=1</x:f>
        <x:v>1</x:v>
      </x:c>
      <x:c r="F392" s="54" t="b">
        <x:f>A392=B392</x:f>
        <x:v>0</x:v>
      </x:c>
      <x:c r="G392" s="54" t="str">
        <x:f>IF(AND(D392,E392,NOT(F392),C392&gt;0),"OK","CHECK")</x:f>
        <x:v>OK</x:v>
      </x:c>
    </x:row>
    <x:row r="393">
      <x:c r="A393" s="54" t="str">
        <x:v>QAR-0011</x:v>
      </x:c>
      <x:c r="B393" s="54" t="str">
        <x:v>KIT-0040</x:v>
      </x:c>
      <x:c r="C393" s="63" t="n">
        <x:v>48</x:v>
      </x:c>
      <x:c r="D393" s="54" t="b">
        <x:f>COUNTIF('Inventory'!$A$4:$A$431,A393)=1</x:f>
        <x:v>1</x:v>
      </x:c>
      <x:c r="E393" s="54" t="b">
        <x:f>COUNTIF('Inventory'!$A$4:$A$431,B393)=1</x:f>
        <x:v>1</x:v>
      </x:c>
      <x:c r="F393" s="54" t="b">
        <x:f>A393=B393</x:f>
        <x:v>0</x:v>
      </x:c>
      <x:c r="G393" s="54" t="str">
        <x:f>IF(AND(D393,E393,NOT(F393),C393&gt;0),"OK","CHECK")</x:f>
        <x:v>OK</x:v>
      </x:c>
    </x:row>
    <x:row r="394">
      <x:c r="A394" s="54" t="str">
        <x:v>QAR-0011</x:v>
      </x:c>
      <x:c r="B394" s="54" t="str">
        <x:v>KIT-0041</x:v>
      </x:c>
      <x:c r="C394" s="63" t="n">
        <x:v>2</x:v>
      </x:c>
      <x:c r="D394" s="54" t="b">
        <x:f>COUNTIF('Inventory'!$A$4:$A$431,A394)=1</x:f>
        <x:v>1</x:v>
      </x:c>
      <x:c r="E394" s="54" t="b">
        <x:f>COUNTIF('Inventory'!$A$4:$A$431,B394)=1</x:f>
        <x:v>1</x:v>
      </x:c>
      <x:c r="F394" s="54" t="b">
        <x:f>A394=B394</x:f>
        <x:v>0</x:v>
      </x:c>
      <x:c r="G394" s="54" t="str">
        <x:f>IF(AND(D394,E394,NOT(F394),C394&gt;0),"OK","CHECK")</x:f>
        <x:v>OK</x:v>
      </x:c>
    </x:row>
    <x:row r="395">
      <x:c r="A395" s="54" t="str">
        <x:v>QAR-0011</x:v>
      </x:c>
      <x:c r="B395" s="54" t="str">
        <x:v>OFT-0022</x:v>
      </x:c>
      <x:c r="C395" s="63" t="n">
        <x:v>1</x:v>
      </x:c>
      <x:c r="D395" s="54" t="b">
        <x:f>COUNTIF('Inventory'!$A$4:$A$431,A395)=1</x:f>
        <x:v>1</x:v>
      </x:c>
      <x:c r="E395" s="54" t="b">
        <x:f>COUNTIF('Inventory'!$A$4:$A$431,B395)=1</x:f>
        <x:v>1</x:v>
      </x:c>
      <x:c r="F395" s="54" t="b">
        <x:f>A395=B395</x:f>
        <x:v>0</x:v>
      </x:c>
      <x:c r="G395" s="54" t="str">
        <x:f>IF(AND(D395,E395,NOT(F395),C395&gt;0),"OK","CHECK")</x:f>
        <x:v>OK</x:v>
      </x:c>
    </x:row>
    <x:row r="396">
      <x:c r="A396" s="54" t="str">
        <x:v>OFT-0021</x:v>
      </x:c>
      <x:c r="B396" s="54" t="str">
        <x:v>PRT-0135</x:v>
      </x:c>
      <x:c r="C396" s="63" t="n">
        <x:v>3</x:v>
      </x:c>
      <x:c r="D396" s="54" t="b">
        <x:f>COUNTIF('Inventory'!$A$4:$A$431,A396)=1</x:f>
        <x:v>1</x:v>
      </x:c>
      <x:c r="E396" s="54" t="b">
        <x:f>COUNTIF('Inventory'!$A$4:$A$431,B396)=1</x:f>
        <x:v>1</x:v>
      </x:c>
      <x:c r="F396" s="54" t="b">
        <x:f>A396=B396</x:f>
        <x:v>0</x:v>
      </x:c>
      <x:c r="G396" s="54" t="str">
        <x:f>IF(AND(D396,E396,NOT(F396),C396&gt;0),"OK","CHECK")</x:f>
        <x:v>OK</x:v>
      </x:c>
    </x:row>
    <x:row r="397">
      <x:c r="A397" s="54" t="str">
        <x:v>OFT-0021</x:v>
      </x:c>
      <x:c r="B397" s="54" t="str">
        <x:v>PRT-0136</x:v>
      </x:c>
      <x:c r="C397" s="63" t="n">
        <x:v>4</x:v>
      </x:c>
      <x:c r="D397" s="54" t="b">
        <x:f>COUNTIF('Inventory'!$A$4:$A$431,A397)=1</x:f>
        <x:v>1</x:v>
      </x:c>
      <x:c r="E397" s="54" t="b">
        <x:f>COUNTIF('Inventory'!$A$4:$A$431,B397)=1</x:f>
        <x:v>1</x:v>
      </x:c>
      <x:c r="F397" s="54" t="b">
        <x:f>A397=B397</x:f>
        <x:v>0</x:v>
      </x:c>
      <x:c r="G397" s="54" t="str">
        <x:f>IF(AND(D397,E397,NOT(F397),C397&gt;0),"OK","CHECK")</x:f>
        <x:v>OK</x:v>
      </x:c>
    </x:row>
    <x:row r="398">
      <x:c r="A398" s="54" t="str">
        <x:v>OFT-0021</x:v>
      </x:c>
      <x:c r="B398" s="54" t="str">
        <x:v>PRT-0137</x:v>
      </x:c>
      <x:c r="C398" s="63" t="n">
        <x:v>6</x:v>
      </x:c>
      <x:c r="D398" s="54" t="b">
        <x:f>COUNTIF('Inventory'!$A$4:$A$431,A398)=1</x:f>
        <x:v>1</x:v>
      </x:c>
      <x:c r="E398" s="54" t="b">
        <x:f>COUNTIF('Inventory'!$A$4:$A$431,B398)=1</x:f>
        <x:v>1</x:v>
      </x:c>
      <x:c r="F398" s="54" t="b">
        <x:f>A398=B398</x:f>
        <x:v>0</x:v>
      </x:c>
      <x:c r="G398" s="54" t="str">
        <x:f>IF(AND(D398,E398,NOT(F398),C398&gt;0),"OK","CHECK")</x:f>
        <x:v>OK</x:v>
      </x:c>
    </x:row>
    <x:row r="399">
      <x:c r="A399" s="54" t="str">
        <x:v>OFT-0021</x:v>
      </x:c>
      <x:c r="B399" s="54" t="str">
        <x:v>PRT-0138</x:v>
      </x:c>
      <x:c r="C399" s="63" t="n">
        <x:v>4</x:v>
      </x:c>
      <x:c r="D399" s="54" t="b">
        <x:f>COUNTIF('Inventory'!$A$4:$A$431,A399)=1</x:f>
        <x:v>1</x:v>
      </x:c>
      <x:c r="E399" s="54" t="b">
        <x:f>COUNTIF('Inventory'!$A$4:$A$431,B399)=1</x:f>
        <x:v>1</x:v>
      </x:c>
      <x:c r="F399" s="54" t="b">
        <x:f>A399=B399</x:f>
        <x:v>0</x:v>
      </x:c>
      <x:c r="G399" s="54" t="str">
        <x:f>IF(AND(D399,E399,NOT(F399),C399&gt;0),"OK","CHECK")</x:f>
        <x:v>OK</x:v>
      </x:c>
    </x:row>
    <x:row r="400">
      <x:c r="A400" s="54" t="str">
        <x:v>OFT-0021</x:v>
      </x:c>
      <x:c r="B400" s="54" t="str">
        <x:v>PRT-0139</x:v>
      </x:c>
      <x:c r="C400" s="63" t="n">
        <x:v>6</x:v>
      </x:c>
      <x:c r="D400" s="54" t="b">
        <x:f>COUNTIF('Inventory'!$A$4:$A$431,A400)=1</x:f>
        <x:v>1</x:v>
      </x:c>
      <x:c r="E400" s="54" t="b">
        <x:f>COUNTIF('Inventory'!$A$4:$A$431,B400)=1</x:f>
        <x:v>1</x:v>
      </x:c>
      <x:c r="F400" s="54" t="b">
        <x:f>A400=B400</x:f>
        <x:v>0</x:v>
      </x:c>
      <x:c r="G400" s="54" t="str">
        <x:f>IF(AND(D400,E400,NOT(F400),C400&gt;0),"OK","CHECK")</x:f>
        <x:v>OK</x:v>
      </x:c>
    </x:row>
    <x:row r="401">
      <x:c r="A401" s="54" t="str">
        <x:v>OFT-0021</x:v>
      </x:c>
      <x:c r="B401" s="54" t="str">
        <x:v>PRT-0140</x:v>
      </x:c>
      <x:c r="C401" s="63" t="n">
        <x:v>8</x:v>
      </x:c>
      <x:c r="D401" s="54" t="b">
        <x:f>COUNTIF('Inventory'!$A$4:$A$431,A401)=1</x:f>
        <x:v>1</x:v>
      </x:c>
      <x:c r="E401" s="54" t="b">
        <x:f>COUNTIF('Inventory'!$A$4:$A$431,B401)=1</x:f>
        <x:v>1</x:v>
      </x:c>
      <x:c r="F401" s="54" t="b">
        <x:f>A401=B401</x:f>
        <x:v>0</x:v>
      </x:c>
      <x:c r="G401" s="54" t="str">
        <x:f>IF(AND(D401,E401,NOT(F401),C401&gt;0),"OK","CHECK")</x:f>
        <x:v>OK</x:v>
      </x:c>
    </x:row>
    <x:row r="402">
      <x:c r="A402" s="54" t="str">
        <x:v>OFT-0021</x:v>
      </x:c>
      <x:c r="B402" s="54" t="str">
        <x:v>PRT-0141</x:v>
      </x:c>
      <x:c r="C402" s="63" t="n">
        <x:v>4</x:v>
      </x:c>
      <x:c r="D402" s="54" t="b">
        <x:f>COUNTIF('Inventory'!$A$4:$A$431,A402)=1</x:f>
        <x:v>1</x:v>
      </x:c>
      <x:c r="E402" s="54" t="b">
        <x:f>COUNTIF('Inventory'!$A$4:$A$431,B402)=1</x:f>
        <x:v>1</x:v>
      </x:c>
      <x:c r="F402" s="54" t="b">
        <x:f>A402=B402</x:f>
        <x:v>0</x:v>
      </x:c>
      <x:c r="G402" s="54" t="str">
        <x:f>IF(AND(D402,E402,NOT(F402),C402&gt;0),"OK","CHECK")</x:f>
        <x:v>OK</x:v>
      </x:c>
    </x:row>
    <x:row r="403">
      <x:c r="A403" s="54" t="str">
        <x:v>KIT-0040</x:v>
      </x:c>
      <x:c r="B403" s="54" t="str">
        <x:v>PRT-0143</x:v>
      </x:c>
      <x:c r="C403" s="63" t="n">
        <x:v>6</x:v>
      </x:c>
      <x:c r="D403" s="54" t="b">
        <x:f>COUNTIF('Inventory'!$A$4:$A$431,A403)=1</x:f>
        <x:v>1</x:v>
      </x:c>
      <x:c r="E403" s="54" t="b">
        <x:f>COUNTIF('Inventory'!$A$4:$A$431,B403)=1</x:f>
        <x:v>1</x:v>
      </x:c>
      <x:c r="F403" s="54" t="b">
        <x:f>A403=B403</x:f>
        <x:v>0</x:v>
      </x:c>
      <x:c r="G403" s="54" t="str">
        <x:f>IF(AND(D403,E403,NOT(F403),C403&gt;0),"OK","CHECK")</x:f>
        <x:v>OK</x:v>
      </x:c>
    </x:row>
    <x:row r="404">
      <x:c r="A404" s="54" t="str">
        <x:v>KIT-0040</x:v>
      </x:c>
      <x:c r="B404" s="54" t="str">
        <x:v>PRT-0144</x:v>
      </x:c>
      <x:c r="C404" s="63" t="n">
        <x:v>6</x:v>
      </x:c>
      <x:c r="D404" s="54" t="b">
        <x:f>COUNTIF('Inventory'!$A$4:$A$431,A404)=1</x:f>
        <x:v>1</x:v>
      </x:c>
      <x:c r="E404" s="54" t="b">
        <x:f>COUNTIF('Inventory'!$A$4:$A$431,B404)=1</x:f>
        <x:v>1</x:v>
      </x:c>
      <x:c r="F404" s="54" t="b">
        <x:f>A404=B404</x:f>
        <x:v>0</x:v>
      </x:c>
      <x:c r="G404" s="54" t="str">
        <x:f>IF(AND(D404,E404,NOT(F404),C404&gt;0),"OK","CHECK")</x:f>
        <x:v>OK</x:v>
      </x:c>
    </x:row>
    <x:row r="405">
      <x:c r="A405" s="54" t="str">
        <x:v>KIT-0040</x:v>
      </x:c>
      <x:c r="B405" s="54" t="str">
        <x:v>PRT-0145</x:v>
      </x:c>
      <x:c r="C405" s="63" t="n">
        <x:v>6</x:v>
      </x:c>
      <x:c r="D405" s="54" t="b">
        <x:f>COUNTIF('Inventory'!$A$4:$A$431,A405)=1</x:f>
        <x:v>1</x:v>
      </x:c>
      <x:c r="E405" s="54" t="b">
        <x:f>COUNTIF('Inventory'!$A$4:$A$431,B405)=1</x:f>
        <x:v>1</x:v>
      </x:c>
      <x:c r="F405" s="54" t="b">
        <x:f>A405=B405</x:f>
        <x:v>0</x:v>
      </x:c>
      <x:c r="G405" s="54" t="str">
        <x:f>IF(AND(D405,E405,NOT(F405),C405&gt;0),"OK","CHECK")</x:f>
        <x:v>OK</x:v>
      </x:c>
    </x:row>
    <x:row r="406">
      <x:c r="A406" s="54" t="str">
        <x:v>KIT-0040</x:v>
      </x:c>
      <x:c r="B406" s="54" t="str">
        <x:v>PRT-0146</x:v>
      </x:c>
      <x:c r="C406" s="63" t="n">
        <x:v>2</x:v>
      </x:c>
      <x:c r="D406" s="54" t="b">
        <x:f>COUNTIF('Inventory'!$A$4:$A$431,A406)=1</x:f>
        <x:v>1</x:v>
      </x:c>
      <x:c r="E406" s="54" t="b">
        <x:f>COUNTIF('Inventory'!$A$4:$A$431,B406)=1</x:f>
        <x:v>1</x:v>
      </x:c>
      <x:c r="F406" s="54" t="b">
        <x:f>A406=B406</x:f>
        <x:v>0</x:v>
      </x:c>
      <x:c r="G406" s="54" t="str">
        <x:f>IF(AND(D406,E406,NOT(F406),C406&gt;0),"OK","CHECK")</x:f>
        <x:v>OK</x:v>
      </x:c>
    </x:row>
    <x:row r="407">
      <x:c r="A407" s="54" t="str">
        <x:v>KIT-0041</x:v>
      </x:c>
      <x:c r="B407" s="54" t="str">
        <x:v>PRT-0142</x:v>
      </x:c>
      <x:c r="C407" s="63" t="n">
        <x:v>6</x:v>
      </x:c>
      <x:c r="D407" s="54" t="b">
        <x:f>COUNTIF('Inventory'!$A$4:$A$431,A407)=1</x:f>
        <x:v>1</x:v>
      </x:c>
      <x:c r="E407" s="54" t="b">
        <x:f>COUNTIF('Inventory'!$A$4:$A$431,B407)=1</x:f>
        <x:v>1</x:v>
      </x:c>
      <x:c r="F407" s="54" t="b">
        <x:f>A407=B407</x:f>
        <x:v>0</x:v>
      </x:c>
      <x:c r="G407" s="54" t="str">
        <x:f>IF(AND(D407,E407,NOT(F407),C407&gt;0),"OK","CHECK")</x:f>
        <x:v>OK</x:v>
      </x:c>
    </x:row>
    <x:row r="408">
      <x:c r="A408" s="54" t="str">
        <x:v>KIT-0041</x:v>
      </x:c>
      <x:c r="B408" s="54" t="str">
        <x:v>PRT-0143</x:v>
      </x:c>
      <x:c r="C408" s="63" t="n">
        <x:v>6</x:v>
      </x:c>
      <x:c r="D408" s="54" t="b">
        <x:f>COUNTIF('Inventory'!$A$4:$A$431,A408)=1</x:f>
        <x:v>1</x:v>
      </x:c>
      <x:c r="E408" s="54" t="b">
        <x:f>COUNTIF('Inventory'!$A$4:$A$431,B408)=1</x:f>
        <x:v>1</x:v>
      </x:c>
      <x:c r="F408" s="54" t="b">
        <x:f>A408=B408</x:f>
        <x:v>0</x:v>
      </x:c>
      <x:c r="G408" s="54" t="str">
        <x:f>IF(AND(D408,E408,NOT(F408),C408&gt;0),"OK","CHECK")</x:f>
        <x:v>OK</x:v>
      </x:c>
    </x:row>
    <x:row r="409">
      <x:c r="A409" s="54" t="str">
        <x:v>KIT-0041</x:v>
      </x:c>
      <x:c r="B409" s="54" t="str">
        <x:v>PRT-0144</x:v>
      </x:c>
      <x:c r="C409" s="63" t="n">
        <x:v>6</x:v>
      </x:c>
      <x:c r="D409" s="54" t="b">
        <x:f>COUNTIF('Inventory'!$A$4:$A$431,A409)=1</x:f>
        <x:v>1</x:v>
      </x:c>
      <x:c r="E409" s="54" t="b">
        <x:f>COUNTIF('Inventory'!$A$4:$A$431,B409)=1</x:f>
        <x:v>1</x:v>
      </x:c>
      <x:c r="F409" s="54" t="b">
        <x:f>A409=B409</x:f>
        <x:v>0</x:v>
      </x:c>
      <x:c r="G409" s="54" t="str">
        <x:f>IF(AND(D409,E409,NOT(F409),C409&gt;0),"OK","CHECK")</x:f>
        <x:v>OK</x:v>
      </x:c>
    </x:row>
    <x:row r="410">
      <x:c r="A410" s="54" t="str">
        <x:v>KIT-0041</x:v>
      </x:c>
      <x:c r="B410" s="54" t="str">
        <x:v>PRT-0147</x:v>
      </x:c>
      <x:c r="C410" s="63" t="n">
        <x:v>2</x:v>
      </x:c>
      <x:c r="D410" s="54" t="b">
        <x:f>COUNTIF('Inventory'!$A$4:$A$431,A410)=1</x:f>
        <x:v>1</x:v>
      </x:c>
      <x:c r="E410" s="54" t="b">
        <x:f>COUNTIF('Inventory'!$A$4:$A$431,B410)=1</x:f>
        <x:v>1</x:v>
      </x:c>
      <x:c r="F410" s="54" t="b">
        <x:f>A410=B410</x:f>
        <x:v>0</x:v>
      </x:c>
      <x:c r="G410" s="54" t="str">
        <x:f>IF(AND(D410,E410,NOT(F410),C410&gt;0),"OK","CHECK")</x:f>
        <x:v>OK</x:v>
      </x:c>
    </x:row>
    <x:row r="411">
      <x:c r="A411" s="54" t="str">
        <x:v>KIT-0041</x:v>
      </x:c>
      <x:c r="B411" s="54" t="str">
        <x:v>PRT-0148</x:v>
      </x:c>
      <x:c r="C411" s="63" t="n">
        <x:v>6</x:v>
      </x:c>
      <x:c r="D411" s="54" t="b">
        <x:f>COUNTIF('Inventory'!$A$4:$A$431,A411)=1</x:f>
        <x:v>1</x:v>
      </x:c>
      <x:c r="E411" s="54" t="b">
        <x:f>COUNTIF('Inventory'!$A$4:$A$431,B411)=1</x:f>
        <x:v>1</x:v>
      </x:c>
      <x:c r="F411" s="54" t="b">
        <x:f>A411=B411</x:f>
        <x:v>0</x:v>
      </x:c>
      <x:c r="G411" s="54" t="str">
        <x:f>IF(AND(D411,E411,NOT(F411),C411&gt;0),"OK","CHECK")</x:f>
        <x:v>OK</x:v>
      </x:c>
    </x:row>
    <x:row r="412">
      <x:c r="A412" s="54" t="str">
        <x:v>KIT-0041</x:v>
      </x:c>
      <x:c r="B412" s="54" t="str">
        <x:v>PRT-0146</x:v>
      </x:c>
      <x:c r="C412" s="63" t="n">
        <x:v>6</x:v>
      </x:c>
      <x:c r="D412" s="54" t="b">
        <x:f>COUNTIF('Inventory'!$A$4:$A$431,A412)=1</x:f>
        <x:v>1</x:v>
      </x:c>
      <x:c r="E412" s="54" t="b">
        <x:f>COUNTIF('Inventory'!$A$4:$A$431,B412)=1</x:f>
        <x:v>1</x:v>
      </x:c>
      <x:c r="F412" s="54" t="b">
        <x:f>A412=B412</x:f>
        <x:v>0</x:v>
      </x:c>
      <x:c r="G412" s="54" t="str">
        <x:f>IF(AND(D412,E412,NOT(F412),C412&gt;0),"OK","CHECK")</x:f>
        <x:v>OK</x:v>
      </x:c>
    </x:row>
    <x:row r="413">
      <x:c r="A413" s="54" t="str">
        <x:v>OFT-0022</x:v>
      </x:c>
      <x:c r="B413" s="54" t="str">
        <x:v>PRT-0149</x:v>
      </x:c>
      <x:c r="C413" s="63" t="n">
        <x:v>8</x:v>
      </x:c>
      <x:c r="D413" s="54" t="b">
        <x:f>COUNTIF('Inventory'!$A$4:$A$431,A413)=1</x:f>
        <x:v>1</x:v>
      </x:c>
      <x:c r="E413" s="54" t="b">
        <x:f>COUNTIF('Inventory'!$A$4:$A$431,B413)=1</x:f>
        <x:v>1</x:v>
      </x:c>
      <x:c r="F413" s="54" t="b">
        <x:f>A413=B413</x:f>
        <x:v>0</x:v>
      </x:c>
      <x:c r="G413" s="54" t="str">
        <x:f>IF(AND(D413,E413,NOT(F413),C413&gt;0),"OK","CHECK")</x:f>
        <x:v>OK</x:v>
      </x:c>
    </x:row>
    <x:row r="414">
      <x:c r="A414" s="54" t="str">
        <x:v>OFT-0022</x:v>
      </x:c>
      <x:c r="B414" s="54" t="str">
        <x:v>PRT-0150</x:v>
      </x:c>
      <x:c r="C414" s="63" t="n">
        <x:v>12</x:v>
      </x:c>
      <x:c r="D414" s="54" t="b">
        <x:f>COUNTIF('Inventory'!$A$4:$A$431,A414)=1</x:f>
        <x:v>1</x:v>
      </x:c>
      <x:c r="E414" s="54" t="b">
        <x:f>COUNTIF('Inventory'!$A$4:$A$431,B414)=1</x:f>
        <x:v>1</x:v>
      </x:c>
      <x:c r="F414" s="54" t="b">
        <x:f>A414=B414</x:f>
        <x:v>0</x:v>
      </x:c>
      <x:c r="G414" s="54" t="str">
        <x:f>IF(AND(D414,E414,NOT(F414),C414&gt;0),"OK","CHECK")</x:f>
        <x:v>OK</x:v>
      </x:c>
    </x:row>
    <x:row r="415">
      <x:c r="A415" s="54" t="str">
        <x:v>QAR-0012</x:v>
      </x:c>
      <x:c r="B415" s="54" t="str">
        <x:v>ASM-0042</x:v>
      </x:c>
      <x:c r="C415" s="63" t="n">
        <x:v>120</x:v>
      </x:c>
      <x:c r="D415" s="54" t="b">
        <x:f>COUNTIF('Inventory'!$A$4:$A$431,A415)=1</x:f>
        <x:v>1</x:v>
      </x:c>
      <x:c r="E415" s="54" t="b">
        <x:f>COUNTIF('Inventory'!$A$4:$A$431,B415)=1</x:f>
        <x:v>1</x:v>
      </x:c>
      <x:c r="F415" s="54" t="b">
        <x:f>A415=B415</x:f>
        <x:v>0</x:v>
      </x:c>
      <x:c r="G415" s="54" t="str">
        <x:f>IF(AND(D415,E415,NOT(F415),C415&gt;0),"OK","CHECK")</x:f>
        <x:v>OK</x:v>
      </x:c>
    </x:row>
    <x:row r="416">
      <x:c r="A416" s="54" t="str">
        <x:v>QAR-0012</x:v>
      </x:c>
      <x:c r="B416" s="54" t="str">
        <x:v>ASM-0043</x:v>
      </x:c>
      <x:c r="C416" s="63" t="n">
        <x:v>12</x:v>
      </x:c>
      <x:c r="D416" s="54" t="b">
        <x:f>COUNTIF('Inventory'!$A$4:$A$431,A416)=1</x:f>
        <x:v>1</x:v>
      </x:c>
      <x:c r="E416" s="54" t="b">
        <x:f>COUNTIF('Inventory'!$A$4:$A$431,B416)=1</x:f>
        <x:v>1</x:v>
      </x:c>
      <x:c r="F416" s="54" t="b">
        <x:f>A416=B416</x:f>
        <x:v>0</x:v>
      </x:c>
      <x:c r="G416" s="54" t="str">
        <x:f>IF(AND(D416,E416,NOT(F416),C416&gt;0),"OK","CHECK")</x:f>
        <x:v>OK</x:v>
      </x:c>
    </x:row>
    <x:row r="417">
      <x:c r="A417" s="54" t="str">
        <x:v>QAR-0012</x:v>
      </x:c>
      <x:c r="B417" s="54" t="str">
        <x:v>ASM-0044</x:v>
      </x:c>
      <x:c r="C417" s="63" t="n">
        <x:v>4</x:v>
      </x:c>
      <x:c r="D417" s="54" t="b">
        <x:f>COUNTIF('Inventory'!$A$4:$A$431,A417)=1</x:f>
        <x:v>1</x:v>
      </x:c>
      <x:c r="E417" s="54" t="b">
        <x:f>COUNTIF('Inventory'!$A$4:$A$431,B417)=1</x:f>
        <x:v>1</x:v>
      </x:c>
      <x:c r="F417" s="54" t="b">
        <x:f>A417=B417</x:f>
        <x:v>0</x:v>
      </x:c>
      <x:c r="G417" s="54" t="str">
        <x:f>IF(AND(D417,E417,NOT(F417),C417&gt;0),"OK","CHECK")</x:f>
        <x:v>OK</x:v>
      </x:c>
    </x:row>
    <x:row r="418">
      <x:c r="A418" s="54" t="str">
        <x:v>QAR-0012</x:v>
      </x:c>
      <x:c r="B418" s="54" t="str">
        <x:v>ASM-0045</x:v>
      </x:c>
      <x:c r="C418" s="63" t="n">
        <x:v>90</x:v>
      </x:c>
      <x:c r="D418" s="54" t="b">
        <x:f>COUNTIF('Inventory'!$A$4:$A$431,A418)=1</x:f>
        <x:v>1</x:v>
      </x:c>
      <x:c r="E418" s="54" t="b">
        <x:f>COUNTIF('Inventory'!$A$4:$A$431,B418)=1</x:f>
        <x:v>1</x:v>
      </x:c>
      <x:c r="F418" s="54" t="b">
        <x:f>A418=B418</x:f>
        <x:v>0</x:v>
      </x:c>
      <x:c r="G418" s="54" t="str">
        <x:f>IF(AND(D418,E418,NOT(F418),C418&gt;0),"OK","CHECK")</x:f>
        <x:v>OK</x:v>
      </x:c>
    </x:row>
    <x:row r="419">
      <x:c r="A419" s="54" t="str">
        <x:v>QAR-0012</x:v>
      </x:c>
      <x:c r="B419" s="54" t="str">
        <x:v>ASM-0046</x:v>
      </x:c>
      <x:c r="C419" s="63" t="n">
        <x:v>30</x:v>
      </x:c>
      <x:c r="D419" s="54" t="b">
        <x:f>COUNTIF('Inventory'!$A$4:$A$431,A419)=1</x:f>
        <x:v>1</x:v>
      </x:c>
      <x:c r="E419" s="54" t="b">
        <x:f>COUNTIF('Inventory'!$A$4:$A$431,B419)=1</x:f>
        <x:v>1</x:v>
      </x:c>
      <x:c r="F419" s="54" t="b">
        <x:f>A419=B419</x:f>
        <x:v>0</x:v>
      </x:c>
      <x:c r="G419" s="54" t="str">
        <x:f>IF(AND(D419,E419,NOT(F419),C419&gt;0),"OK","CHECK")</x:f>
        <x:v>OK</x:v>
      </x:c>
    </x:row>
    <x:row r="420">
      <x:c r="A420" s="54" t="str">
        <x:v>QAR-0012</x:v>
      </x:c>
      <x:c r="B420" s="54" t="str">
        <x:v>ASM-0047</x:v>
      </x:c>
      <x:c r="C420" s="63" t="n">
        <x:v>15</x:v>
      </x:c>
      <x:c r="D420" s="54" t="b">
        <x:f>COUNTIF('Inventory'!$A$4:$A$431,A420)=1</x:f>
        <x:v>1</x:v>
      </x:c>
      <x:c r="E420" s="54" t="b">
        <x:f>COUNTIF('Inventory'!$A$4:$A$431,B420)=1</x:f>
        <x:v>1</x:v>
      </x:c>
      <x:c r="F420" s="54" t="b">
        <x:f>A420=B420</x:f>
        <x:v>0</x:v>
      </x:c>
      <x:c r="G420" s="54" t="str">
        <x:f>IF(AND(D420,E420,NOT(F420),C420&gt;0),"OK","CHECK")</x:f>
        <x:v>OK</x:v>
      </x:c>
    </x:row>
    <x:row r="421">
      <x:c r="A421" s="54" t="str">
        <x:v>QAR-0012</x:v>
      </x:c>
      <x:c r="B421" s="54" t="str">
        <x:v>ASM-0048</x:v>
      </x:c>
      <x:c r="C421" s="63" t="n">
        <x:v>15</x:v>
      </x:c>
      <x:c r="D421" s="54" t="b">
        <x:f>COUNTIF('Inventory'!$A$4:$A$431,A421)=1</x:f>
        <x:v>1</x:v>
      </x:c>
      <x:c r="E421" s="54" t="b">
        <x:f>COUNTIF('Inventory'!$A$4:$A$431,B421)=1</x:f>
        <x:v>1</x:v>
      </x:c>
      <x:c r="F421" s="54" t="b">
        <x:f>A421=B421</x:f>
        <x:v>0</x:v>
      </x:c>
      <x:c r="G421" s="54" t="str">
        <x:f>IF(AND(D421,E421,NOT(F421),C421&gt;0),"OK","CHECK")</x:f>
        <x:v>OK</x:v>
      </x:c>
    </x:row>
    <x:row r="422">
      <x:c r="A422" s="54" t="str">
        <x:v>QAR-0012</x:v>
      </x:c>
      <x:c r="B422" s="54" t="str">
        <x:v>ASM-0049</x:v>
      </x:c>
      <x:c r="C422" s="63" t="n">
        <x:v>30</x:v>
      </x:c>
      <x:c r="D422" s="54" t="b">
        <x:f>COUNTIF('Inventory'!$A$4:$A$431,A422)=1</x:f>
        <x:v>1</x:v>
      </x:c>
      <x:c r="E422" s="54" t="b">
        <x:f>COUNTIF('Inventory'!$A$4:$A$431,B422)=1</x:f>
        <x:v>1</x:v>
      </x:c>
      <x:c r="F422" s="54" t="b">
        <x:f>A422=B422</x:f>
        <x:v>0</x:v>
      </x:c>
      <x:c r="G422" s="54" t="str">
        <x:f>IF(AND(D422,E422,NOT(F422),C422&gt;0),"OK","CHECK")</x:f>
        <x:v>OK</x:v>
      </x:c>
    </x:row>
    <x:row r="423">
      <x:c r="A423" s="54" t="str">
        <x:v>QAR-0012</x:v>
      </x:c>
      <x:c r="B423" s="54" t="str">
        <x:v>ASM-0050</x:v>
      </x:c>
      <x:c r="C423" s="63" t="n">
        <x:v>30</x:v>
      </x:c>
      <x:c r="D423" s="54" t="b">
        <x:f>COUNTIF('Inventory'!$A$4:$A$431,A423)=1</x:f>
        <x:v>1</x:v>
      </x:c>
      <x:c r="E423" s="54" t="b">
        <x:f>COUNTIF('Inventory'!$A$4:$A$431,B423)=1</x:f>
        <x:v>1</x:v>
      </x:c>
      <x:c r="F423" s="54" t="b">
        <x:f>A423=B423</x:f>
        <x:v>0</x:v>
      </x:c>
      <x:c r="G423" s="54" t="str">
        <x:f>IF(AND(D423,E423,NOT(F423),C423&gt;0),"OK","CHECK")</x:f>
        <x:v>OK</x:v>
      </x:c>
    </x:row>
    <x:row r="424">
      <x:c r="A424" s="54" t="str">
        <x:v>QAR-0012</x:v>
      </x:c>
      <x:c r="B424" s="54" t="str">
        <x:v>ASM-0051</x:v>
      </x:c>
      <x:c r="C424" s="63" t="n">
        <x:v>20</x:v>
      </x:c>
      <x:c r="D424" s="54" t="b">
        <x:f>COUNTIF('Inventory'!$A$4:$A$431,A424)=1</x:f>
        <x:v>1</x:v>
      </x:c>
      <x:c r="E424" s="54" t="b">
        <x:f>COUNTIF('Inventory'!$A$4:$A$431,B424)=1</x:f>
        <x:v>1</x:v>
      </x:c>
      <x:c r="F424" s="54" t="b">
        <x:f>A424=B424</x:f>
        <x:v>0</x:v>
      </x:c>
      <x:c r="G424" s="54" t="str">
        <x:f>IF(AND(D424,E424,NOT(F424),C424&gt;0),"OK","CHECK")</x:f>
        <x:v>OK</x:v>
      </x:c>
    </x:row>
    <x:row r="425">
      <x:c r="A425" s="54" t="str">
        <x:v>QAR-0012</x:v>
      </x:c>
      <x:c r="B425" s="54" t="str">
        <x:v>ASM-0052</x:v>
      </x:c>
      <x:c r="C425" s="63" t="n">
        <x:v>20</x:v>
      </x:c>
      <x:c r="D425" s="54" t="b">
        <x:f>COUNTIF('Inventory'!$A$4:$A$431,A425)=1</x:f>
        <x:v>1</x:v>
      </x:c>
      <x:c r="E425" s="54" t="b">
        <x:f>COUNTIF('Inventory'!$A$4:$A$431,B425)=1</x:f>
        <x:v>1</x:v>
      </x:c>
      <x:c r="F425" s="54" t="b">
        <x:f>A425=B425</x:f>
        <x:v>0</x:v>
      </x:c>
      <x:c r="G425" s="54" t="str">
        <x:f>IF(AND(D425,E425,NOT(F425),C425&gt;0),"OK","CHECK")</x:f>
        <x:v>OK</x:v>
      </x:c>
    </x:row>
    <x:row r="426">
      <x:c r="A426" s="54" t="str">
        <x:v>QAR-0012</x:v>
      </x:c>
      <x:c r="B426" s="54" t="str">
        <x:v>ASM-0053</x:v>
      </x:c>
      <x:c r="C426" s="63" t="n">
        <x:v>6</x:v>
      </x:c>
      <x:c r="D426" s="54" t="b">
        <x:f>COUNTIF('Inventory'!$A$4:$A$431,A426)=1</x:f>
        <x:v>1</x:v>
      </x:c>
      <x:c r="E426" s="54" t="b">
        <x:f>COUNTIF('Inventory'!$A$4:$A$431,B426)=1</x:f>
        <x:v>1</x:v>
      </x:c>
      <x:c r="F426" s="54" t="b">
        <x:f>A426=B426</x:f>
        <x:v>0</x:v>
      </x:c>
      <x:c r="G426" s="54" t="str">
        <x:f>IF(AND(D426,E426,NOT(F426),C426&gt;0),"OK","CHECK")</x:f>
        <x:v>OK</x:v>
      </x:c>
    </x:row>
    <x:row r="427">
      <x:c r="A427" s="54" t="str">
        <x:v>QAR-0012</x:v>
      </x:c>
      <x:c r="B427" s="54" t="str">
        <x:v>ASM-0054</x:v>
      </x:c>
      <x:c r="C427" s="63" t="n">
        <x:v>6</x:v>
      </x:c>
      <x:c r="D427" s="54" t="b">
        <x:f>COUNTIF('Inventory'!$A$4:$A$431,A427)=1</x:f>
        <x:v>1</x:v>
      </x:c>
      <x:c r="E427" s="54" t="b">
        <x:f>COUNTIF('Inventory'!$A$4:$A$431,B427)=1</x:f>
        <x:v>1</x:v>
      </x:c>
      <x:c r="F427" s="54" t="b">
        <x:f>A427=B427</x:f>
        <x:v>0</x:v>
      </x:c>
      <x:c r="G427" s="54" t="str">
        <x:f>IF(AND(D427,E427,NOT(F427),C427&gt;0),"OK","CHECK")</x:f>
        <x:v>OK</x:v>
      </x:c>
    </x:row>
    <x:row r="428">
      <x:c r="A428" s="54" t="str">
        <x:v>ASM-0042</x:v>
      </x:c>
      <x:c r="B428" s="54" t="str">
        <x:v>PKG-0009</x:v>
      </x:c>
      <x:c r="C428" s="63" t="n">
        <x:v>1</x:v>
      </x:c>
      <x:c r="D428" s="54" t="b">
        <x:f>COUNTIF('Inventory'!$A$4:$A$431,A428)=1</x:f>
        <x:v>1</x:v>
      </x:c>
      <x:c r="E428" s="54" t="b">
        <x:f>COUNTIF('Inventory'!$A$4:$A$431,B428)=1</x:f>
        <x:v>1</x:v>
      </x:c>
      <x:c r="F428" s="54" t="b">
        <x:f>A428=B428</x:f>
        <x:v>0</x:v>
      </x:c>
      <x:c r="G428" s="54" t="str">
        <x:f>IF(AND(D428,E428,NOT(F428),C428&gt;0),"OK","CHECK")</x:f>
        <x:v>OK</x:v>
      </x:c>
    </x:row>
    <x:row r="429">
      <x:c r="A429" s="54" t="str">
        <x:v>ASM-0042</x:v>
      </x:c>
      <x:c r="B429" s="54" t="str">
        <x:v>MAT-0026</x:v>
      </x:c>
      <x:c r="C429" s="63" t="n">
        <x:v>50</x:v>
      </x:c>
      <x:c r="D429" s="54" t="b">
        <x:f>COUNTIF('Inventory'!$A$4:$A$431,A429)=1</x:f>
        <x:v>1</x:v>
      </x:c>
      <x:c r="E429" s="54" t="b">
        <x:f>COUNTIF('Inventory'!$A$4:$A$431,B429)=1</x:f>
        <x:v>1</x:v>
      </x:c>
      <x:c r="F429" s="54" t="b">
        <x:f>A429=B429</x:f>
        <x:v>0</x:v>
      </x:c>
      <x:c r="G429" s="54" t="str">
        <x:f>IF(AND(D429,E429,NOT(F429),C429&gt;0),"OK","CHECK")</x:f>
        <x:v>OK</x:v>
      </x:c>
    </x:row>
    <x:row r="430">
      <x:c r="A430" s="54" t="str">
        <x:v>ASM-0042</x:v>
      </x:c>
      <x:c r="B430" s="54" t="str">
        <x:v>LBL-0007</x:v>
      </x:c>
      <x:c r="C430" s="63" t="n">
        <x:v>1</x:v>
      </x:c>
      <x:c r="D430" s="54" t="b">
        <x:f>COUNTIF('Inventory'!$A$4:$A$431,A430)=1</x:f>
        <x:v>1</x:v>
      </x:c>
      <x:c r="E430" s="54" t="b">
        <x:f>COUNTIF('Inventory'!$A$4:$A$431,B430)=1</x:f>
        <x:v>1</x:v>
      </x:c>
      <x:c r="F430" s="54" t="b">
        <x:f>A430=B430</x:f>
        <x:v>0</x:v>
      </x:c>
      <x:c r="G430" s="54" t="str">
        <x:f>IF(AND(D430,E430,NOT(F430),C430&gt;0),"OK","CHECK")</x:f>
        <x:v>OK</x:v>
      </x:c>
    </x:row>
    <x:row r="431">
      <x:c r="A431" s="54" t="str">
        <x:v>ASM-0043</x:v>
      </x:c>
      <x:c r="B431" s="54" t="str">
        <x:v>PKG-0009</x:v>
      </x:c>
      <x:c r="C431" s="63" t="n">
        <x:v>1</x:v>
      </x:c>
      <x:c r="D431" s="54" t="b">
        <x:f>COUNTIF('Inventory'!$A$4:$A$431,A431)=1</x:f>
        <x:v>1</x:v>
      </x:c>
      <x:c r="E431" s="54" t="b">
        <x:f>COUNTIF('Inventory'!$A$4:$A$431,B431)=1</x:f>
        <x:v>1</x:v>
      </x:c>
      <x:c r="F431" s="54" t="b">
        <x:f>A431=B431</x:f>
        <x:v>0</x:v>
      </x:c>
      <x:c r="G431" s="54" t="str">
        <x:f>IF(AND(D431,E431,NOT(F431),C431&gt;0),"OK","CHECK")</x:f>
        <x:v>OK</x:v>
      </x:c>
    </x:row>
    <x:row r="432">
      <x:c r="A432" s="54" t="str">
        <x:v>ASM-0043</x:v>
      </x:c>
      <x:c r="B432" s="54" t="str">
        <x:v>MAT-0027</x:v>
      </x:c>
      <x:c r="C432" s="63" t="n">
        <x:v>50</x:v>
      </x:c>
      <x:c r="D432" s="54" t="b">
        <x:f>COUNTIF('Inventory'!$A$4:$A$431,A432)=1</x:f>
        <x:v>1</x:v>
      </x:c>
      <x:c r="E432" s="54" t="b">
        <x:f>COUNTIF('Inventory'!$A$4:$A$431,B432)=1</x:f>
        <x:v>1</x:v>
      </x:c>
      <x:c r="F432" s="54" t="b">
        <x:f>A432=B432</x:f>
        <x:v>0</x:v>
      </x:c>
      <x:c r="G432" s="54" t="str">
        <x:f>IF(AND(D432,E432,NOT(F432),C432&gt;0),"OK","CHECK")</x:f>
        <x:v>OK</x:v>
      </x:c>
    </x:row>
    <x:row r="433">
      <x:c r="A433" s="54" t="str">
        <x:v>ASM-0043</x:v>
      </x:c>
      <x:c r="B433" s="54" t="str">
        <x:v>LBL-0008</x:v>
      </x:c>
      <x:c r="C433" s="63" t="n">
        <x:v>1</x:v>
      </x:c>
      <x:c r="D433" s="54" t="b">
        <x:f>COUNTIF('Inventory'!$A$4:$A$431,A433)=1</x:f>
        <x:v>1</x:v>
      </x:c>
      <x:c r="E433" s="54" t="b">
        <x:f>COUNTIF('Inventory'!$A$4:$A$431,B433)=1</x:f>
        <x:v>1</x:v>
      </x:c>
      <x:c r="F433" s="54" t="b">
        <x:f>A433=B433</x:f>
        <x:v>0</x:v>
      </x:c>
      <x:c r="G433" s="54" t="str">
        <x:f>IF(AND(D433,E433,NOT(F433),C433&gt;0),"OK","CHECK")</x:f>
        <x:v>OK</x:v>
      </x:c>
    </x:row>
    <x:row r="434">
      <x:c r="A434" s="54" t="str">
        <x:v>ASM-0044</x:v>
      </x:c>
      <x:c r="B434" s="54" t="str">
        <x:v>PKG-0011</x:v>
      </x:c>
      <x:c r="C434" s="63" t="n">
        <x:v>1</x:v>
      </x:c>
      <x:c r="D434" s="54" t="b">
        <x:f>COUNTIF('Inventory'!$A$4:$A$431,A434)=1</x:f>
        <x:v>1</x:v>
      </x:c>
      <x:c r="E434" s="54" t="b">
        <x:f>COUNTIF('Inventory'!$A$4:$A$431,B434)=1</x:f>
        <x:v>1</x:v>
      </x:c>
      <x:c r="F434" s="54" t="b">
        <x:f>A434=B434</x:f>
        <x:v>0</x:v>
      </x:c>
      <x:c r="G434" s="54" t="str">
        <x:f>IF(AND(D434,E434,NOT(F434),C434&gt;0),"OK","CHECK")</x:f>
        <x:v>OK</x:v>
      </x:c>
    </x:row>
    <x:row r="435">
      <x:c r="A435" s="54" t="str">
        <x:v>ASM-0044</x:v>
      </x:c>
      <x:c r="B435" s="54" t="str">
        <x:v>MAT-0028</x:v>
      </x:c>
      <x:c r="C435" s="63" t="n">
        <x:v>25</x:v>
      </x:c>
      <x:c r="D435" s="54" t="b">
        <x:f>COUNTIF('Inventory'!$A$4:$A$431,A435)=1</x:f>
        <x:v>1</x:v>
      </x:c>
      <x:c r="E435" s="54" t="b">
        <x:f>COUNTIF('Inventory'!$A$4:$A$431,B435)=1</x:f>
        <x:v>1</x:v>
      </x:c>
      <x:c r="F435" s="54" t="b">
        <x:f>A435=B435</x:f>
        <x:v>0</x:v>
      </x:c>
      <x:c r="G435" s="54" t="str">
        <x:f>IF(AND(D435,E435,NOT(F435),C435&gt;0),"OK","CHECK")</x:f>
        <x:v>OK</x:v>
      </x:c>
    </x:row>
    <x:row r="436">
      <x:c r="A436" s="54" t="str">
        <x:v>ASM-0044</x:v>
      </x:c>
      <x:c r="B436" s="54" t="str">
        <x:v>LBL-0010</x:v>
      </x:c>
      <x:c r="C436" s="63" t="n">
        <x:v>1</x:v>
      </x:c>
      <x:c r="D436" s="54" t="b">
        <x:f>COUNTIF('Inventory'!$A$4:$A$431,A436)=1</x:f>
        <x:v>1</x:v>
      </x:c>
      <x:c r="E436" s="54" t="b">
        <x:f>COUNTIF('Inventory'!$A$4:$A$431,B436)=1</x:f>
        <x:v>1</x:v>
      </x:c>
      <x:c r="F436" s="54" t="b">
        <x:f>A436=B436</x:f>
        <x:v>0</x:v>
      </x:c>
      <x:c r="G436" s="54" t="str">
        <x:f>IF(AND(D436,E436,NOT(F436),C436&gt;0),"OK","CHECK")</x:f>
        <x:v>OK</x:v>
      </x:c>
    </x:row>
    <x:row r="437">
      <x:c r="A437" s="54" t="str">
        <x:v>ASM-0045</x:v>
      </x:c>
      <x:c r="B437" s="54" t="str">
        <x:v>PKG-0010</x:v>
      </x:c>
      <x:c r="C437" s="63" t="n">
        <x:v>1</x:v>
      </x:c>
      <x:c r="D437" s="54" t="b">
        <x:f>COUNTIF('Inventory'!$A$4:$A$431,A437)=1</x:f>
        <x:v>1</x:v>
      </x:c>
      <x:c r="E437" s="54" t="b">
        <x:f>COUNTIF('Inventory'!$A$4:$A$431,B437)=1</x:f>
        <x:v>1</x:v>
      </x:c>
      <x:c r="F437" s="54" t="b">
        <x:f>A437=B437</x:f>
        <x:v>0</x:v>
      </x:c>
      <x:c r="G437" s="54" t="str">
        <x:f>IF(AND(D437,E437,NOT(F437),C437&gt;0),"OK","CHECK")</x:f>
        <x:v>OK</x:v>
      </x:c>
    </x:row>
    <x:row r="438">
      <x:c r="A438" s="54" t="str">
        <x:v>ASM-0045</x:v>
      </x:c>
      <x:c r="B438" s="54" t="str">
        <x:v>MAT-0029</x:v>
      </x:c>
      <x:c r="C438" s="63" t="n">
        <x:v>100</x:v>
      </x:c>
      <x:c r="D438" s="54" t="b">
        <x:f>COUNTIF('Inventory'!$A$4:$A$431,A438)=1</x:f>
        <x:v>1</x:v>
      </x:c>
      <x:c r="E438" s="54" t="b">
        <x:f>COUNTIF('Inventory'!$A$4:$A$431,B438)=1</x:f>
        <x:v>1</x:v>
      </x:c>
      <x:c r="F438" s="54" t="b">
        <x:f>A438=B438</x:f>
        <x:v>0</x:v>
      </x:c>
      <x:c r="G438" s="54" t="str">
        <x:f>IF(AND(D438,E438,NOT(F438),C438&gt;0),"OK","CHECK")</x:f>
        <x:v>OK</x:v>
      </x:c>
    </x:row>
    <x:row r="439">
      <x:c r="A439" s="54" t="str">
        <x:v>ASM-0045</x:v>
      </x:c>
      <x:c r="B439" s="54" t="str">
        <x:v>LBL-0009</x:v>
      </x:c>
      <x:c r="C439" s="63" t="n">
        <x:v>1</x:v>
      </x:c>
      <x:c r="D439" s="54" t="b">
        <x:f>COUNTIF('Inventory'!$A$4:$A$431,A439)=1</x:f>
        <x:v>1</x:v>
      </x:c>
      <x:c r="E439" s="54" t="b">
        <x:f>COUNTIF('Inventory'!$A$4:$A$431,B439)=1</x:f>
        <x:v>1</x:v>
      </x:c>
      <x:c r="F439" s="54" t="b">
        <x:f>A439=B439</x:f>
        <x:v>0</x:v>
      </x:c>
      <x:c r="G439" s="54" t="str">
        <x:f>IF(AND(D439,E439,NOT(F439),C439&gt;0),"OK","CHECK")</x:f>
        <x:v>OK</x:v>
      </x:c>
    </x:row>
    <x:row r="440">
      <x:c r="A440" s="54" t="str">
        <x:v>ASM-0046</x:v>
      </x:c>
      <x:c r="B440" s="54" t="str">
        <x:v>PKG-0010</x:v>
      </x:c>
      <x:c r="C440" s="63" t="n">
        <x:v>1</x:v>
      </x:c>
      <x:c r="D440" s="54" t="b">
        <x:f>COUNTIF('Inventory'!$A$4:$A$431,A440)=1</x:f>
        <x:v>1</x:v>
      </x:c>
      <x:c r="E440" s="54" t="b">
        <x:f>COUNTIF('Inventory'!$A$4:$A$431,B440)=1</x:f>
        <x:v>1</x:v>
      </x:c>
      <x:c r="F440" s="54" t="b">
        <x:f>A440=B440</x:f>
        <x:v>0</x:v>
      </x:c>
      <x:c r="G440" s="54" t="str">
        <x:f>IF(AND(D440,E440,NOT(F440),C440&gt;0),"OK","CHECK")</x:f>
        <x:v>OK</x:v>
      </x:c>
    </x:row>
    <x:row r="441">
      <x:c r="A441" s="54" t="str">
        <x:v>ASM-0046</x:v>
      </x:c>
      <x:c r="B441" s="54" t="str">
        <x:v>MAT-0030</x:v>
      </x:c>
      <x:c r="C441" s="63" t="n">
        <x:v>200</x:v>
      </x:c>
      <x:c r="D441" s="54" t="b">
        <x:f>COUNTIF('Inventory'!$A$4:$A$431,A441)=1</x:f>
        <x:v>1</x:v>
      </x:c>
      <x:c r="E441" s="54" t="b">
        <x:f>COUNTIF('Inventory'!$A$4:$A$431,B441)=1</x:f>
        <x:v>1</x:v>
      </x:c>
      <x:c r="F441" s="54" t="b">
        <x:f>A441=B441</x:f>
        <x:v>0</x:v>
      </x:c>
      <x:c r="G441" s="54" t="str">
        <x:f>IF(AND(D441,E441,NOT(F441),C441&gt;0),"OK","CHECK")</x:f>
        <x:v>OK</x:v>
      </x:c>
    </x:row>
    <x:row r="442">
      <x:c r="A442" s="54" t="str">
        <x:v>ASM-0046</x:v>
      </x:c>
      <x:c r="B442" s="54" t="str">
        <x:v>LBL-0009</x:v>
      </x:c>
      <x:c r="C442" s="63" t="n">
        <x:v>1</x:v>
      </x:c>
      <x:c r="D442" s="54" t="b">
        <x:f>COUNTIF('Inventory'!$A$4:$A$431,A442)=1</x:f>
        <x:v>1</x:v>
      </x:c>
      <x:c r="E442" s="54" t="b">
        <x:f>COUNTIF('Inventory'!$A$4:$A$431,B442)=1</x:f>
        <x:v>1</x:v>
      </x:c>
      <x:c r="F442" s="54" t="b">
        <x:f>A442=B442</x:f>
        <x:v>0</x:v>
      </x:c>
      <x:c r="G442" s="54" t="str">
        <x:f>IF(AND(D442,E442,NOT(F442),C442&gt;0),"OK","CHECK")</x:f>
        <x:v>OK</x:v>
      </x:c>
    </x:row>
    <x:row r="443">
      <x:c r="A443" s="54" t="str">
        <x:v>ASM-0047</x:v>
      </x:c>
      <x:c r="B443" s="54" t="str">
        <x:v>PKG-0010</x:v>
      </x:c>
      <x:c r="C443" s="63" t="n">
        <x:v>1</x:v>
      </x:c>
      <x:c r="D443" s="54" t="b">
        <x:f>COUNTIF('Inventory'!$A$4:$A$431,A443)=1</x:f>
        <x:v>1</x:v>
      </x:c>
      <x:c r="E443" s="54" t="b">
        <x:f>COUNTIF('Inventory'!$A$4:$A$431,B443)=1</x:f>
        <x:v>1</x:v>
      </x:c>
      <x:c r="F443" s="54" t="b">
        <x:f>A443=B443</x:f>
        <x:v>0</x:v>
      </x:c>
      <x:c r="G443" s="54" t="str">
        <x:f>IF(AND(D443,E443,NOT(F443),C443&gt;0),"OK","CHECK")</x:f>
        <x:v>OK</x:v>
      </x:c>
    </x:row>
    <x:row r="444">
      <x:c r="A444" s="54" t="str">
        <x:v>ASM-0047</x:v>
      </x:c>
      <x:c r="B444" s="54" t="str">
        <x:v>MAT-0031</x:v>
      </x:c>
      <x:c r="C444" s="63" t="n">
        <x:v>200</x:v>
      </x:c>
      <x:c r="D444" s="54" t="b">
        <x:f>COUNTIF('Inventory'!$A$4:$A$431,A444)=1</x:f>
        <x:v>1</x:v>
      </x:c>
      <x:c r="E444" s="54" t="b">
        <x:f>COUNTIF('Inventory'!$A$4:$A$431,B444)=1</x:f>
        <x:v>1</x:v>
      </x:c>
      <x:c r="F444" s="54" t="b">
        <x:f>A444=B444</x:f>
        <x:v>0</x:v>
      </x:c>
      <x:c r="G444" s="54" t="str">
        <x:f>IF(AND(D444,E444,NOT(F444),C444&gt;0),"OK","CHECK")</x:f>
        <x:v>OK</x:v>
      </x:c>
    </x:row>
    <x:row r="445">
      <x:c r="A445" s="54" t="str">
        <x:v>ASM-0047</x:v>
      </x:c>
      <x:c r="B445" s="54" t="str">
        <x:v>LBL-0009</x:v>
      </x:c>
      <x:c r="C445" s="63" t="n">
        <x:v>1</x:v>
      </x:c>
      <x:c r="D445" s="54" t="b">
        <x:f>COUNTIF('Inventory'!$A$4:$A$431,A445)=1</x:f>
        <x:v>1</x:v>
      </x:c>
      <x:c r="E445" s="54" t="b">
        <x:f>COUNTIF('Inventory'!$A$4:$A$431,B445)=1</x:f>
        <x:v>1</x:v>
      </x:c>
      <x:c r="F445" s="54" t="b">
        <x:f>A445=B445</x:f>
        <x:v>0</x:v>
      </x:c>
      <x:c r="G445" s="54" t="str">
        <x:f>IF(AND(D445,E445,NOT(F445),C445&gt;0),"OK","CHECK")</x:f>
        <x:v>OK</x:v>
      </x:c>
    </x:row>
    <x:row r="446">
      <x:c r="A446" s="54" t="str">
        <x:v>ASM-0048</x:v>
      </x:c>
      <x:c r="B446" s="54" t="str">
        <x:v>PKG-0010</x:v>
      </x:c>
      <x:c r="C446" s="63" t="n">
        <x:v>1</x:v>
      </x:c>
      <x:c r="D446" s="54" t="b">
        <x:f>COUNTIF('Inventory'!$A$4:$A$431,A446)=1</x:f>
        <x:v>1</x:v>
      </x:c>
      <x:c r="E446" s="54" t="b">
        <x:f>COUNTIF('Inventory'!$A$4:$A$431,B446)=1</x:f>
        <x:v>1</x:v>
      </x:c>
      <x:c r="F446" s="54" t="b">
        <x:f>A446=B446</x:f>
        <x:v>0</x:v>
      </x:c>
      <x:c r="G446" s="54" t="str">
        <x:f>IF(AND(D446,E446,NOT(F446),C446&gt;0),"OK","CHECK")</x:f>
        <x:v>OK</x:v>
      </x:c>
    </x:row>
    <x:row r="447">
      <x:c r="A447" s="54" t="str">
        <x:v>ASM-0048</x:v>
      </x:c>
      <x:c r="B447" s="54" t="str">
        <x:v>MAT-0032</x:v>
      </x:c>
      <x:c r="C447" s="63" t="n">
        <x:v>100</x:v>
      </x:c>
      <x:c r="D447" s="54" t="b">
        <x:f>COUNTIF('Inventory'!$A$4:$A$431,A447)=1</x:f>
        <x:v>1</x:v>
      </x:c>
      <x:c r="E447" s="54" t="b">
        <x:f>COUNTIF('Inventory'!$A$4:$A$431,B447)=1</x:f>
        <x:v>1</x:v>
      </x:c>
      <x:c r="F447" s="54" t="b">
        <x:f>A447=B447</x:f>
        <x:v>0</x:v>
      </x:c>
      <x:c r="G447" s="54" t="str">
        <x:f>IF(AND(D447,E447,NOT(F447),C447&gt;0),"OK","CHECK")</x:f>
        <x:v>OK</x:v>
      </x:c>
    </x:row>
    <x:row r="448">
      <x:c r="A448" s="54" t="str">
        <x:v>ASM-0048</x:v>
      </x:c>
      <x:c r="B448" s="54" t="str">
        <x:v>LBL-0009</x:v>
      </x:c>
      <x:c r="C448" s="63" t="n">
        <x:v>1</x:v>
      </x:c>
      <x:c r="D448" s="54" t="b">
        <x:f>COUNTIF('Inventory'!$A$4:$A$431,A448)=1</x:f>
        <x:v>1</x:v>
      </x:c>
      <x:c r="E448" s="54" t="b">
        <x:f>COUNTIF('Inventory'!$A$4:$A$431,B448)=1</x:f>
        <x:v>1</x:v>
      </x:c>
      <x:c r="F448" s="54" t="b">
        <x:f>A448=B448</x:f>
        <x:v>0</x:v>
      </x:c>
      <x:c r="G448" s="54" t="str">
        <x:f>IF(AND(D448,E448,NOT(F448),C448&gt;0),"OK","CHECK")</x:f>
        <x:v>OK</x:v>
      </x:c>
    </x:row>
    <x:row r="449">
      <x:c r="A449" s="54" t="str">
        <x:v>ASM-0049</x:v>
      </x:c>
      <x:c r="B449" s="54" t="str">
        <x:v>PKG-0012</x:v>
      </x:c>
      <x:c r="C449" s="63" t="n">
        <x:v>1</x:v>
      </x:c>
      <x:c r="D449" s="54" t="b">
        <x:f>COUNTIF('Inventory'!$A$4:$A$431,A449)=1</x:f>
        <x:v>1</x:v>
      </x:c>
      <x:c r="E449" s="54" t="b">
        <x:f>COUNTIF('Inventory'!$A$4:$A$431,B449)=1</x:f>
        <x:v>1</x:v>
      </x:c>
      <x:c r="F449" s="54" t="b">
        <x:f>A449=B449</x:f>
        <x:v>0</x:v>
      </x:c>
      <x:c r="G449" s="54" t="str">
        <x:f>IF(AND(D449,E449,NOT(F449),C449&gt;0),"OK","CHECK")</x:f>
        <x:v>OK</x:v>
      </x:c>
    </x:row>
    <x:row r="450">
      <x:c r="A450" s="54" t="str">
        <x:v>ASM-0049</x:v>
      </x:c>
      <x:c r="B450" s="54" t="str">
        <x:v>MAT-0033</x:v>
      </x:c>
      <x:c r="C450" s="63" t="n">
        <x:v>50</x:v>
      </x:c>
      <x:c r="D450" s="54" t="b">
        <x:f>COUNTIF('Inventory'!$A$4:$A$431,A450)=1</x:f>
        <x:v>1</x:v>
      </x:c>
      <x:c r="E450" s="54" t="b">
        <x:f>COUNTIF('Inventory'!$A$4:$A$431,B450)=1</x:f>
        <x:v>1</x:v>
      </x:c>
      <x:c r="F450" s="54" t="b">
        <x:f>A450=B450</x:f>
        <x:v>0</x:v>
      </x:c>
      <x:c r="G450" s="54" t="str">
        <x:f>IF(AND(D450,E450,NOT(F450),C450&gt;0),"OK","CHECK")</x:f>
        <x:v>OK</x:v>
      </x:c>
    </x:row>
    <x:row r="451">
      <x:c r="A451" s="54" t="str">
        <x:v>ASM-0049</x:v>
      </x:c>
      <x:c r="B451" s="54" t="str">
        <x:v>LBL-0009</x:v>
      </x:c>
      <x:c r="C451" s="63" t="n">
        <x:v>1</x:v>
      </x:c>
      <x:c r="D451" s="54" t="b">
        <x:f>COUNTIF('Inventory'!$A$4:$A$431,A451)=1</x:f>
        <x:v>1</x:v>
      </x:c>
      <x:c r="E451" s="54" t="b">
        <x:f>COUNTIF('Inventory'!$A$4:$A$431,B451)=1</x:f>
        <x:v>1</x:v>
      </x:c>
      <x:c r="F451" s="54" t="b">
        <x:f>A451=B451</x:f>
        <x:v>0</x:v>
      </x:c>
      <x:c r="G451" s="54" t="str">
        <x:f>IF(AND(D451,E451,NOT(F451),C451&gt;0),"OK","CHECK")</x:f>
        <x:v>OK</x:v>
      </x:c>
    </x:row>
    <x:row r="452">
      <x:c r="A452" s="54" t="str">
        <x:v>ASM-0050</x:v>
      </x:c>
      <x:c r="B452" s="54" t="str">
        <x:v>PKG-0012</x:v>
      </x:c>
      <x:c r="C452" s="63" t="n">
        <x:v>1</x:v>
      </x:c>
      <x:c r="D452" s="54" t="b">
        <x:f>COUNTIF('Inventory'!$A$4:$A$431,A452)=1</x:f>
        <x:v>1</x:v>
      </x:c>
      <x:c r="E452" s="54" t="b">
        <x:f>COUNTIF('Inventory'!$A$4:$A$431,B452)=1</x:f>
        <x:v>1</x:v>
      </x:c>
      <x:c r="F452" s="54" t="b">
        <x:f>A452=B452</x:f>
        <x:v>0</x:v>
      </x:c>
      <x:c r="G452" s="54" t="str">
        <x:f>IF(AND(D452,E452,NOT(F452),C452&gt;0),"OK","CHECK")</x:f>
        <x:v>OK</x:v>
      </x:c>
    </x:row>
    <x:row r="453">
      <x:c r="A453" s="54" t="str">
        <x:v>ASM-0050</x:v>
      </x:c>
      <x:c r="B453" s="54" t="str">
        <x:v>MAT-0034</x:v>
      </x:c>
      <x:c r="C453" s="63" t="n">
        <x:v>50</x:v>
      </x:c>
      <x:c r="D453" s="54" t="b">
        <x:f>COUNTIF('Inventory'!$A$4:$A$431,A453)=1</x:f>
        <x:v>1</x:v>
      </x:c>
      <x:c r="E453" s="54" t="b">
        <x:f>COUNTIF('Inventory'!$A$4:$A$431,B453)=1</x:f>
        <x:v>1</x:v>
      </x:c>
      <x:c r="F453" s="54" t="b">
        <x:f>A453=B453</x:f>
        <x:v>0</x:v>
      </x:c>
      <x:c r="G453" s="54" t="str">
        <x:f>IF(AND(D453,E453,NOT(F453),C453&gt;0),"OK","CHECK")</x:f>
        <x:v>OK</x:v>
      </x:c>
    </x:row>
    <x:row r="454">
      <x:c r="A454" s="54" t="str">
        <x:v>ASM-0050</x:v>
      </x:c>
      <x:c r="B454" s="54" t="str">
        <x:v>LBL-0009</x:v>
      </x:c>
      <x:c r="C454" s="63" t="n">
        <x:v>1</x:v>
      </x:c>
      <x:c r="D454" s="54" t="b">
        <x:f>COUNTIF('Inventory'!$A$4:$A$431,A454)=1</x:f>
        <x:v>1</x:v>
      </x:c>
      <x:c r="E454" s="54" t="b">
        <x:f>COUNTIF('Inventory'!$A$4:$A$431,B454)=1</x:f>
        <x:v>1</x:v>
      </x:c>
      <x:c r="F454" s="54" t="b">
        <x:f>A454=B454</x:f>
        <x:v>0</x:v>
      </x:c>
      <x:c r="G454" s="54" t="str">
        <x:f>IF(AND(D454,E454,NOT(F454),C454&gt;0),"OK","CHECK")</x:f>
        <x:v>OK</x:v>
      </x:c>
    </x:row>
    <x:row r="455">
      <x:c r="A455" s="54" t="str">
        <x:v>ASM-0051</x:v>
      </x:c>
      <x:c r="B455" s="54" t="str">
        <x:v>PKG-0013</x:v>
      </x:c>
      <x:c r="C455" s="63" t="n">
        <x:v>1</x:v>
      </x:c>
      <x:c r="D455" s="54" t="b">
        <x:f>COUNTIF('Inventory'!$A$4:$A$431,A455)=1</x:f>
        <x:v>1</x:v>
      </x:c>
      <x:c r="E455" s="54" t="b">
        <x:f>COUNTIF('Inventory'!$A$4:$A$431,B455)=1</x:f>
        <x:v>1</x:v>
      </x:c>
      <x:c r="F455" s="54" t="b">
        <x:f>A455=B455</x:f>
        <x:v>0</x:v>
      </x:c>
      <x:c r="G455" s="54" t="str">
        <x:f>IF(AND(D455,E455,NOT(F455),C455&gt;0),"OK","CHECK")</x:f>
        <x:v>OK</x:v>
      </x:c>
    </x:row>
    <x:row r="456">
      <x:c r="A456" s="54" t="str">
        <x:v>ASM-0051</x:v>
      </x:c>
      <x:c r="B456" s="54" t="str">
        <x:v>MAT-0035</x:v>
      </x:c>
      <x:c r="C456" s="63" t="n">
        <x:v>50</x:v>
      </x:c>
      <x:c r="D456" s="54" t="b">
        <x:f>COUNTIF('Inventory'!$A$4:$A$431,A456)=1</x:f>
        <x:v>1</x:v>
      </x:c>
      <x:c r="E456" s="54" t="b">
        <x:f>COUNTIF('Inventory'!$A$4:$A$431,B456)=1</x:f>
        <x:v>1</x:v>
      </x:c>
      <x:c r="F456" s="54" t="b">
        <x:f>A456=B456</x:f>
        <x:v>0</x:v>
      </x:c>
      <x:c r="G456" s="54" t="str">
        <x:f>IF(AND(D456,E456,NOT(F456),C456&gt;0),"OK","CHECK")</x:f>
        <x:v>OK</x:v>
      </x:c>
    </x:row>
    <x:row r="457">
      <x:c r="A457" s="54" t="str">
        <x:v>ASM-0051</x:v>
      </x:c>
      <x:c r="B457" s="54" t="str">
        <x:v>LBL-0009</x:v>
      </x:c>
      <x:c r="C457" s="63" t="n">
        <x:v>1</x:v>
      </x:c>
      <x:c r="D457" s="54" t="b">
        <x:f>COUNTIF('Inventory'!$A$4:$A$431,A457)=1</x:f>
        <x:v>1</x:v>
      </x:c>
      <x:c r="E457" s="54" t="b">
        <x:f>COUNTIF('Inventory'!$A$4:$A$431,B457)=1</x:f>
        <x:v>1</x:v>
      </x:c>
      <x:c r="F457" s="54" t="b">
        <x:f>A457=B457</x:f>
        <x:v>0</x:v>
      </x:c>
      <x:c r="G457" s="54" t="str">
        <x:f>IF(AND(D457,E457,NOT(F457),C457&gt;0),"OK","CHECK")</x:f>
        <x:v>OK</x:v>
      </x:c>
    </x:row>
    <x:row r="458">
      <x:c r="A458" s="54" t="str">
        <x:v>ASM-0052</x:v>
      </x:c>
      <x:c r="B458" s="54" t="str">
        <x:v>PKG-0014</x:v>
      </x:c>
      <x:c r="C458" s="63" t="n">
        <x:v>1</x:v>
      </x:c>
      <x:c r="D458" s="54" t="b">
        <x:f>COUNTIF('Inventory'!$A$4:$A$431,A458)=1</x:f>
        <x:v>1</x:v>
      </x:c>
      <x:c r="E458" s="54" t="b">
        <x:f>COUNTIF('Inventory'!$A$4:$A$431,B458)=1</x:f>
        <x:v>1</x:v>
      </x:c>
      <x:c r="F458" s="54" t="b">
        <x:f>A458=B458</x:f>
        <x:v>0</x:v>
      </x:c>
      <x:c r="G458" s="54" t="str">
        <x:f>IF(AND(D458,E458,NOT(F458),C458&gt;0),"OK","CHECK")</x:f>
        <x:v>OK</x:v>
      </x:c>
    </x:row>
    <x:row r="459">
      <x:c r="A459" s="54" t="str">
        <x:v>ASM-0052</x:v>
      </x:c>
      <x:c r="B459" s="54" t="str">
        <x:v>MAT-0036</x:v>
      </x:c>
      <x:c r="C459" s="63" t="n">
        <x:v>25</x:v>
      </x:c>
      <x:c r="D459" s="54" t="b">
        <x:f>COUNTIF('Inventory'!$A$4:$A$431,A459)=1</x:f>
        <x:v>1</x:v>
      </x:c>
      <x:c r="E459" s="54" t="b">
        <x:f>COUNTIF('Inventory'!$A$4:$A$431,B459)=1</x:f>
        <x:v>1</x:v>
      </x:c>
      <x:c r="F459" s="54" t="b">
        <x:f>A459=B459</x:f>
        <x:v>0</x:v>
      </x:c>
      <x:c r="G459" s="54" t="str">
        <x:f>IF(AND(D459,E459,NOT(F459),C459&gt;0),"OK","CHECK")</x:f>
        <x:v>OK</x:v>
      </x:c>
    </x:row>
    <x:row r="460">
      <x:c r="A460" s="54" t="str">
        <x:v>ASM-0052</x:v>
      </x:c>
      <x:c r="B460" s="54" t="str">
        <x:v>LBL-0009</x:v>
      </x:c>
      <x:c r="C460" s="63" t="n">
        <x:v>1</x:v>
      </x:c>
      <x:c r="D460" s="54" t="b">
        <x:f>COUNTIF('Inventory'!$A$4:$A$431,A460)=1</x:f>
        <x:v>1</x:v>
      </x:c>
      <x:c r="E460" s="54" t="b">
        <x:f>COUNTIF('Inventory'!$A$4:$A$431,B460)=1</x:f>
        <x:v>1</x:v>
      </x:c>
      <x:c r="F460" s="54" t="b">
        <x:f>A460=B460</x:f>
        <x:v>0</x:v>
      </x:c>
      <x:c r="G460" s="54" t="str">
        <x:f>IF(AND(D460,E460,NOT(F460),C460&gt;0),"OK","CHECK")</x:f>
        <x:v>OK</x:v>
      </x:c>
    </x:row>
    <x:row r="461">
      <x:c r="A461" s="54" t="str">
        <x:v>ASM-0053</x:v>
      </x:c>
      <x:c r="B461" s="54" t="str">
        <x:v>PKG-0012</x:v>
      </x:c>
      <x:c r="C461" s="63" t="n">
        <x:v>1</x:v>
      </x:c>
      <x:c r="D461" s="54" t="b">
        <x:f>COUNTIF('Inventory'!$A$4:$A$431,A461)=1</x:f>
        <x:v>1</x:v>
      </x:c>
      <x:c r="E461" s="54" t="b">
        <x:f>COUNTIF('Inventory'!$A$4:$A$431,B461)=1</x:f>
        <x:v>1</x:v>
      </x:c>
      <x:c r="F461" s="54" t="b">
        <x:f>A461=B461</x:f>
        <x:v>0</x:v>
      </x:c>
      <x:c r="G461" s="54" t="str">
        <x:f>IF(AND(D461,E461,NOT(F461),C461&gt;0),"OK","CHECK")</x:f>
        <x:v>OK</x:v>
      </x:c>
    </x:row>
    <x:row r="462">
      <x:c r="A462" s="54" t="str">
        <x:v>ASM-0053</x:v>
      </x:c>
      <x:c r="B462" s="54" t="str">
        <x:v>MAT-0037</x:v>
      </x:c>
      <x:c r="C462" s="63" t="n">
        <x:v>50</x:v>
      </x:c>
      <x:c r="D462" s="54" t="b">
        <x:f>COUNTIF('Inventory'!$A$4:$A$431,A462)=1</x:f>
        <x:v>1</x:v>
      </x:c>
      <x:c r="E462" s="54" t="b">
        <x:f>COUNTIF('Inventory'!$A$4:$A$431,B462)=1</x:f>
        <x:v>1</x:v>
      </x:c>
      <x:c r="F462" s="54" t="b">
        <x:f>A462=B462</x:f>
        <x:v>0</x:v>
      </x:c>
      <x:c r="G462" s="54" t="str">
        <x:f>IF(AND(D462,E462,NOT(F462),C462&gt;0),"OK","CHECK")</x:f>
        <x:v>OK</x:v>
      </x:c>
    </x:row>
    <x:row r="463">
      <x:c r="A463" s="54" t="str">
        <x:v>ASM-0053</x:v>
      </x:c>
      <x:c r="B463" s="54" t="str">
        <x:v>LBL-0009</x:v>
      </x:c>
      <x:c r="C463" s="63" t="n">
        <x:v>1</x:v>
      </x:c>
      <x:c r="D463" s="54" t="b">
        <x:f>COUNTIF('Inventory'!$A$4:$A$431,A463)=1</x:f>
        <x:v>1</x:v>
      </x:c>
      <x:c r="E463" s="54" t="b">
        <x:f>COUNTIF('Inventory'!$A$4:$A$431,B463)=1</x:f>
        <x:v>1</x:v>
      </x:c>
      <x:c r="F463" s="54" t="b">
        <x:f>A463=B463</x:f>
        <x:v>0</x:v>
      </x:c>
      <x:c r="G463" s="54" t="str">
        <x:f>IF(AND(D463,E463,NOT(F463),C463&gt;0),"OK","CHECK")</x:f>
        <x:v>OK</x:v>
      </x:c>
    </x:row>
    <x:row r="464">
      <x:c r="A464" s="54" t="str">
        <x:v>ASM-0054</x:v>
      </x:c>
      <x:c r="B464" s="54" t="str">
        <x:v>PKG-0011</x:v>
      </x:c>
      <x:c r="C464" s="63" t="n">
        <x:v>1</x:v>
      </x:c>
      <x:c r="D464" s="54" t="b">
        <x:f>COUNTIF('Inventory'!$A$4:$A$431,A464)=1</x:f>
        <x:v>1</x:v>
      </x:c>
      <x:c r="E464" s="54" t="b">
        <x:f>COUNTIF('Inventory'!$A$4:$A$431,B464)=1</x:f>
        <x:v>1</x:v>
      </x:c>
      <x:c r="F464" s="54" t="b">
        <x:f>A464=B464</x:f>
        <x:v>0</x:v>
      </x:c>
      <x:c r="G464" s="54" t="str">
        <x:f>IF(AND(D464,E464,NOT(F464),C464&gt;0),"OK","CHECK")</x:f>
        <x:v>OK</x:v>
      </x:c>
    </x:row>
    <x:row r="465">
      <x:c r="A465" s="54" t="str">
        <x:v>ASM-0054</x:v>
      </x:c>
      <x:c r="B465" s="54" t="str">
        <x:v>MAT-0038</x:v>
      </x:c>
      <x:c r="C465" s="63" t="n">
        <x:v>25</x:v>
      </x:c>
      <x:c r="D465" s="54" t="b">
        <x:f>COUNTIF('Inventory'!$A$4:$A$431,A465)=1</x:f>
        <x:v>1</x:v>
      </x:c>
      <x:c r="E465" s="54" t="b">
        <x:f>COUNTIF('Inventory'!$A$4:$A$431,B465)=1</x:f>
        <x:v>1</x:v>
      </x:c>
      <x:c r="F465" s="54" t="b">
        <x:f>A465=B465</x:f>
        <x:v>0</x:v>
      </x:c>
      <x:c r="G465" s="54" t="str">
        <x:f>IF(AND(D465,E465,NOT(F465),C465&gt;0),"OK","CHECK")</x:f>
        <x:v>OK</x:v>
      </x:c>
    </x:row>
    <x:row r="466">
      <x:c r="A466" s="54" t="str">
        <x:v>ASM-0054</x:v>
      </x:c>
      <x:c r="B466" s="54" t="str">
        <x:v>LBL-0009</x:v>
      </x:c>
      <x:c r="C466" s="63" t="n">
        <x:v>1</x:v>
      </x:c>
      <x:c r="D466" s="54" t="b">
        <x:f>COUNTIF('Inventory'!$A$4:$A$431,A466)=1</x:f>
        <x:v>1</x:v>
      </x:c>
      <x:c r="E466" s="54" t="b">
        <x:f>COUNTIF('Inventory'!$A$4:$A$431,B466)=1</x:f>
        <x:v>1</x:v>
      </x:c>
      <x:c r="F466" s="54" t="b">
        <x:f>A466=B466</x:f>
        <x:v>0</x:v>
      </x:c>
      <x:c r="G466" s="54" t="str">
        <x:f>IF(AND(D466,E466,NOT(F466),C466&gt;0),"OK","CHECK")</x:f>
        <x:v>OK</x:v>
      </x:c>
    </x:row>
    <x:row r="467">
      <x:c r="A467" s="54" t="str">
        <x:v>QAR-0013</x:v>
      </x:c>
      <x:c r="B467" s="54" t="str">
        <x:v>KIT-0042</x:v>
      </x:c>
      <x:c r="C467" s="63" t="n">
        <x:v>300</x:v>
      </x:c>
      <x:c r="D467" s="54" t="b">
        <x:f>COUNTIF('Inventory'!$A$4:$A$431,A467)=1</x:f>
        <x:v>1</x:v>
      </x:c>
      <x:c r="E467" s="54" t="b">
        <x:f>COUNTIF('Inventory'!$A$4:$A$431,B467)=1</x:f>
        <x:v>1</x:v>
      </x:c>
      <x:c r="F467" s="54" t="b">
        <x:f>A467=B467</x:f>
        <x:v>0</x:v>
      </x:c>
      <x:c r="G467" s="54" t="str">
        <x:f>IF(AND(D467,E467,NOT(F467),C467&gt;0),"OK","CHECK")</x:f>
        <x:v>OK</x:v>
      </x:c>
    </x:row>
    <x:row r="468">
      <x:c r="A468" s="54" t="str">
        <x:v>QAR-0013</x:v>
      </x:c>
      <x:c r="B468" s="54" t="str">
        <x:v>OFT-0023</x:v>
      </x:c>
      <x:c r="C468" s="63" t="n">
        <x:v>1</x:v>
      </x:c>
      <x:c r="D468" s="54" t="b">
        <x:f>COUNTIF('Inventory'!$A$4:$A$431,A468)=1</x:f>
        <x:v>1</x:v>
      </x:c>
      <x:c r="E468" s="54" t="b">
        <x:f>COUNTIF('Inventory'!$A$4:$A$431,B468)=1</x:f>
        <x:v>1</x:v>
      </x:c>
      <x:c r="F468" s="54" t="b">
        <x:f>A468=B468</x:f>
        <x:v>0</x:v>
      </x:c>
      <x:c r="G468" s="54" t="str">
        <x:f>IF(AND(D468,E468,NOT(F468),C468&gt;0),"OK","CHECK")</x:f>
        <x:v>OK</x:v>
      </x:c>
    </x:row>
    <x:row r="469">
      <x:c r="A469" s="54" t="str">
        <x:v>KIT-0042</x:v>
      </x:c>
      <x:c r="B469" s="54" t="str">
        <x:v>ASM-0055</x:v>
      </x:c>
      <x:c r="C469" s="63" t="n">
        <x:v>1</x:v>
      </x:c>
      <x:c r="D469" s="54" t="b">
        <x:f>COUNTIF('Inventory'!$A$4:$A$431,A469)=1</x:f>
        <x:v>1</x:v>
      </x:c>
      <x:c r="E469" s="54" t="b">
        <x:f>COUNTIF('Inventory'!$A$4:$A$431,B469)=1</x:f>
        <x:v>1</x:v>
      </x:c>
      <x:c r="F469" s="54" t="b">
        <x:f>A469=B469</x:f>
        <x:v>0</x:v>
      </x:c>
      <x:c r="G469" s="54" t="str">
        <x:f>IF(AND(D469,E469,NOT(F469),C469&gt;0),"OK","CHECK")</x:f>
        <x:v>OK</x:v>
      </x:c>
    </x:row>
    <x:row r="470">
      <x:c r="A470" s="54" t="str">
        <x:v>KIT-0042</x:v>
      </x:c>
      <x:c r="B470" s="54" t="str">
        <x:v>PRT-0151</x:v>
      </x:c>
      <x:c r="C470" s="63" t="n">
        <x:v>1</x:v>
      </x:c>
      <x:c r="D470" s="54" t="b">
        <x:f>COUNTIF('Inventory'!$A$4:$A$431,A470)=1</x:f>
        <x:v>1</x:v>
      </x:c>
      <x:c r="E470" s="54" t="b">
        <x:f>COUNTIF('Inventory'!$A$4:$A$431,B470)=1</x:f>
        <x:v>1</x:v>
      </x:c>
      <x:c r="F470" s="54" t="b">
        <x:f>A470=B470</x:f>
        <x:v>0</x:v>
      </x:c>
      <x:c r="G470" s="54" t="str">
        <x:f>IF(AND(D470,E470,NOT(F470),C470&gt;0),"OK","CHECK")</x:f>
        <x:v>OK</x:v>
      </x:c>
    </x:row>
    <x:row r="471">
      <x:c r="A471" s="54" t="str">
        <x:v>KIT-0042</x:v>
      </x:c>
      <x:c r="B471" s="54" t="str">
        <x:v>PKG-0015</x:v>
      </x:c>
      <x:c r="C471" s="63" t="n">
        <x:v>1</x:v>
      </x:c>
      <x:c r="D471" s="54" t="b">
        <x:f>COUNTIF('Inventory'!$A$4:$A$431,A471)=1</x:f>
        <x:v>1</x:v>
      </x:c>
      <x:c r="E471" s="54" t="b">
        <x:f>COUNTIF('Inventory'!$A$4:$A$431,B471)=1</x:f>
        <x:v>1</x:v>
      </x:c>
      <x:c r="F471" s="54" t="b">
        <x:f>A471=B471</x:f>
        <x:v>0</x:v>
      </x:c>
      <x:c r="G471" s="54" t="str">
        <x:f>IF(AND(D471,E471,NOT(F471),C471&gt;0),"OK","CHECK")</x:f>
        <x:v>OK</x:v>
      </x:c>
    </x:row>
    <x:row r="472">
      <x:c r="A472" s="54" t="str">
        <x:v>KIT-0042</x:v>
      </x:c>
      <x:c r="B472" s="54" t="str">
        <x:v>PRT-0152</x:v>
      </x:c>
      <x:c r="C472" s="63" t="n">
        <x:v>1</x:v>
      </x:c>
      <x:c r="D472" s="54" t="b">
        <x:f>COUNTIF('Inventory'!$A$4:$A$431,A472)=1</x:f>
        <x:v>1</x:v>
      </x:c>
      <x:c r="E472" s="54" t="b">
        <x:f>COUNTIF('Inventory'!$A$4:$A$431,B472)=1</x:f>
        <x:v>1</x:v>
      </x:c>
      <x:c r="F472" s="54" t="b">
        <x:f>A472=B472</x:f>
        <x:v>0</x:v>
      </x:c>
      <x:c r="G472" s="54" t="str">
        <x:f>IF(AND(D472,E472,NOT(F472),C472&gt;0),"OK","CHECK")</x:f>
        <x:v>OK</x:v>
      </x:c>
    </x:row>
    <x:row r="473">
      <x:c r="A473" s="54" t="str">
        <x:v>KIT-0042</x:v>
      </x:c>
      <x:c r="B473" s="54" t="str">
        <x:v>PRT-0144</x:v>
      </x:c>
      <x:c r="C473" s="63" t="n">
        <x:v>1</x:v>
      </x:c>
      <x:c r="D473" s="54" t="b">
        <x:f>COUNTIF('Inventory'!$A$4:$A$431,A473)=1</x:f>
        <x:v>1</x:v>
      </x:c>
      <x:c r="E473" s="54" t="b">
        <x:f>COUNTIF('Inventory'!$A$4:$A$431,B473)=1</x:f>
        <x:v>1</x:v>
      </x:c>
      <x:c r="F473" s="54" t="b">
        <x:f>A473=B473</x:f>
        <x:v>0</x:v>
      </x:c>
      <x:c r="G473" s="54" t="str">
        <x:f>IF(AND(D473,E473,NOT(F473),C473&gt;0),"OK","CHECK")</x:f>
        <x:v>OK</x:v>
      </x:c>
    </x:row>
    <x:row r="474">
      <x:c r="A474" s="54" t="str">
        <x:v>KIT-0042</x:v>
      </x:c>
      <x:c r="B474" s="54" t="str">
        <x:v>PRT-0153</x:v>
      </x:c>
      <x:c r="C474" s="63" t="n">
        <x:v>1</x:v>
      </x:c>
      <x:c r="D474" s="54" t="b">
        <x:f>COUNTIF('Inventory'!$A$4:$A$431,A474)=1</x:f>
        <x:v>1</x:v>
      </x:c>
      <x:c r="E474" s="54" t="b">
        <x:f>COUNTIF('Inventory'!$A$4:$A$431,B474)=1</x:f>
        <x:v>1</x:v>
      </x:c>
      <x:c r="F474" s="54" t="b">
        <x:f>A474=B474</x:f>
        <x:v>0</x:v>
      </x:c>
      <x:c r="G474" s="54" t="str">
        <x:f>IF(AND(D474,E474,NOT(F474),C474&gt;0),"OK","CHECK")</x:f>
        <x:v>OK</x:v>
      </x:c>
    </x:row>
    <x:row r="475">
      <x:c r="A475" s="54" t="str">
        <x:v>KIT-0042</x:v>
      </x:c>
      <x:c r="B475" s="54" t="str">
        <x:v>KIT-0043</x:v>
      </x:c>
      <x:c r="C475" s="63" t="n">
        <x:v>1</x:v>
      </x:c>
      <x:c r="D475" s="54" t="b">
        <x:f>COUNTIF('Inventory'!$A$4:$A$431,A475)=1</x:f>
        <x:v>1</x:v>
      </x:c>
      <x:c r="E475" s="54" t="b">
        <x:f>COUNTIF('Inventory'!$A$4:$A$431,B475)=1</x:f>
        <x:v>1</x:v>
      </x:c>
      <x:c r="F475" s="54" t="b">
        <x:f>A475=B475</x:f>
        <x:v>0</x:v>
      </x:c>
      <x:c r="G475" s="54" t="str">
        <x:f>IF(AND(D475,E475,NOT(F475),C475&gt;0),"OK","CHECK")</x:f>
        <x:v>OK</x:v>
      </x:c>
    </x:row>
    <x:row r="476">
      <x:c r="A476" s="54" t="str">
        <x:v>KIT-0042</x:v>
      </x:c>
      <x:c r="B476" s="54" t="str">
        <x:v>KIT-0044</x:v>
      </x:c>
      <x:c r="C476" s="63" t="n">
        <x:v>1</x:v>
      </x:c>
      <x:c r="D476" s="54" t="b">
        <x:f>COUNTIF('Inventory'!$A$4:$A$431,A476)=1</x:f>
        <x:v>1</x:v>
      </x:c>
      <x:c r="E476" s="54" t="b">
        <x:f>COUNTIF('Inventory'!$A$4:$A$431,B476)=1</x:f>
        <x:v>1</x:v>
      </x:c>
      <x:c r="F476" s="54" t="b">
        <x:f>A476=B476</x:f>
        <x:v>0</x:v>
      </x:c>
      <x:c r="G476" s="54" t="str">
        <x:f>IF(AND(D476,E476,NOT(F476),C476&gt;0),"OK","CHECK")</x:f>
        <x:v>OK</x:v>
      </x:c>
    </x:row>
    <x:row r="477">
      <x:c r="A477" s="54" t="str">
        <x:v>KIT-0042</x:v>
      </x:c>
      <x:c r="B477" s="54" t="str">
        <x:v>LBL-0011</x:v>
      </x:c>
      <x:c r="C477" s="63" t="n">
        <x:v>1</x:v>
      </x:c>
      <x:c r="D477" s="54" t="b">
        <x:f>COUNTIF('Inventory'!$A$4:$A$431,A477)=1</x:f>
        <x:v>1</x:v>
      </x:c>
      <x:c r="E477" s="54" t="b">
        <x:f>COUNTIF('Inventory'!$A$4:$A$431,B477)=1</x:f>
        <x:v>1</x:v>
      </x:c>
      <x:c r="F477" s="54" t="b">
        <x:f>A477=B477</x:f>
        <x:v>0</x:v>
      </x:c>
      <x:c r="G477" s="54" t="str">
        <x:f>IF(AND(D477,E477,NOT(F477),C477&gt;0),"OK","CHECK")</x:f>
        <x:v>OK</x:v>
      </x:c>
    </x:row>
    <x:row r="478">
      <x:c r="A478" s="54" t="str">
        <x:v>OFT-0023</x:v>
      </x:c>
      <x:c r="B478" s="54" t="str">
        <x:v>ASM-0055</x:v>
      </x:c>
      <x:c r="C478" s="63" t="n">
        <x:v>30</x:v>
      </x:c>
      <x:c r="D478" s="54" t="b">
        <x:f>COUNTIF('Inventory'!$A$4:$A$431,A478)=1</x:f>
        <x:v>1</x:v>
      </x:c>
      <x:c r="E478" s="54" t="b">
        <x:f>COUNTIF('Inventory'!$A$4:$A$431,B478)=1</x:f>
        <x:v>1</x:v>
      </x:c>
      <x:c r="F478" s="54" t="b">
        <x:f>A478=B478</x:f>
        <x:v>0</x:v>
      </x:c>
      <x:c r="G478" s="54" t="str">
        <x:f>IF(AND(D478,E478,NOT(F478),C478&gt;0),"OK","CHECK")</x:f>
        <x:v>OK</x:v>
      </x:c>
    </x:row>
    <x:row r="479">
      <x:c r="A479" s="54" t="str">
        <x:v>OFT-0023</x:v>
      </x:c>
      <x:c r="B479" s="54" t="str">
        <x:v>PRT-0151</x:v>
      </x:c>
      <x:c r="C479" s="63" t="n">
        <x:v>30</x:v>
      </x:c>
      <x:c r="D479" s="54" t="b">
        <x:f>COUNTIF('Inventory'!$A$4:$A$431,A479)=1</x:f>
        <x:v>1</x:v>
      </x:c>
      <x:c r="E479" s="54" t="b">
        <x:f>COUNTIF('Inventory'!$A$4:$A$431,B479)=1</x:f>
        <x:v>1</x:v>
      </x:c>
      <x:c r="F479" s="54" t="b">
        <x:f>A479=B479</x:f>
        <x:v>0</x:v>
      </x:c>
      <x:c r="G479" s="54" t="str">
        <x:f>IF(AND(D479,E479,NOT(F479),C479&gt;0),"OK","CHECK")</x:f>
        <x:v>OK</x:v>
      </x:c>
    </x:row>
    <x:row r="480">
      <x:c r="A480" s="54" t="str">
        <x:v>OFT-0023</x:v>
      </x:c>
      <x:c r="B480" s="54" t="str">
        <x:v>KIT-0044</x:v>
      </x:c>
      <x:c r="C480" s="63" t="n">
        <x:v>30</x:v>
      </x:c>
      <x:c r="D480" s="54" t="b">
        <x:f>COUNTIF('Inventory'!$A$4:$A$431,A480)=1</x:f>
        <x:v>1</x:v>
      </x:c>
      <x:c r="E480" s="54" t="b">
        <x:f>COUNTIF('Inventory'!$A$4:$A$431,B480)=1</x:f>
        <x:v>1</x:v>
      </x:c>
      <x:c r="F480" s="54" t="b">
        <x:f>A480=B480</x:f>
        <x:v>0</x:v>
      </x:c>
      <x:c r="G480" s="54" t="str">
        <x:f>IF(AND(D480,E480,NOT(F480),C480&gt;0),"OK","CHECK")</x:f>
        <x:v>OK</x:v>
      </x:c>
    </x:row>
    <x:row r="481">
      <x:c r="A481" s="54" t="str">
        <x:v>QAR-0014</x:v>
      </x:c>
      <x:c r="B481" s="54" t="str">
        <x:v>QAR-0054</x:v>
      </x:c>
      <x:c r="C481" s="63" t="n">
        <x:v>1</x:v>
      </x:c>
      <x:c r="D481" s="54" t="b">
        <x:f>COUNTIF('Inventory'!$A$4:$A$431,A481)=1</x:f>
        <x:v>1</x:v>
      </x:c>
      <x:c r="E481" s="54" t="b">
        <x:f>COUNTIF('Inventory'!$A$4:$A$431,B481)=1</x:f>
        <x:v>1</x:v>
      </x:c>
      <x:c r="F481" s="54" t="b">
        <x:f>A481=B481</x:f>
        <x:v>0</x:v>
      </x:c>
      <x:c r="G481" s="54" t="str">
        <x:f>IF(AND(D481,E481,NOT(F481),C481&gt;0),"OK","CHECK")</x:f>
        <x:v>OK</x:v>
      </x:c>
    </x:row>
    <x:row r="482">
      <x:c r="A482" s="54" t="str">
        <x:v>QAR-0014</x:v>
      </x:c>
      <x:c r="B482" s="54" t="str">
        <x:v>KIT-0045</x:v>
      </x:c>
      <x:c r="C482" s="63" t="n">
        <x:v>1</x:v>
      </x:c>
      <x:c r="D482" s="54" t="b">
        <x:f>COUNTIF('Inventory'!$A$4:$A$431,A482)=1</x:f>
        <x:v>1</x:v>
      </x:c>
      <x:c r="E482" s="54" t="b">
        <x:f>COUNTIF('Inventory'!$A$4:$A$431,B482)=1</x:f>
        <x:v>1</x:v>
      </x:c>
      <x:c r="F482" s="54" t="b">
        <x:f>A482=B482</x:f>
        <x:v>0</x:v>
      </x:c>
      <x:c r="G482" s="54" t="str">
        <x:f>IF(AND(D482,E482,NOT(F482),C482&gt;0),"OK","CHECK")</x:f>
        <x:v>OK</x:v>
      </x:c>
    </x:row>
    <x:row r="483">
      <x:c r="A483" s="54" t="str">
        <x:v>QAR-0014</x:v>
      </x:c>
      <x:c r="B483" s="54" t="str">
        <x:v>ASM-0056</x:v>
      </x:c>
      <x:c r="C483" s="63" t="n">
        <x:v>2</x:v>
      </x:c>
      <x:c r="D483" s="54" t="b">
        <x:f>COUNTIF('Inventory'!$A$4:$A$431,A483)=1</x:f>
        <x:v>1</x:v>
      </x:c>
      <x:c r="E483" s="54" t="b">
        <x:f>COUNTIF('Inventory'!$A$4:$A$431,B483)=1</x:f>
        <x:v>1</x:v>
      </x:c>
      <x:c r="F483" s="54" t="b">
        <x:f>A483=B483</x:f>
        <x:v>0</x:v>
      </x:c>
      <x:c r="G483" s="54" t="str">
        <x:f>IF(AND(D483,E483,NOT(F483),C483&gt;0),"OK","CHECK")</x:f>
        <x:v>OK</x:v>
      </x:c>
    </x:row>
    <x:row r="484">
      <x:c r="A484" s="54" t="str">
        <x:v>QAR-0014</x:v>
      </x:c>
      <x:c r="B484" s="54" t="str">
        <x:v>KIT-0046</x:v>
      </x:c>
      <x:c r="C484" s="63" t="n">
        <x:v>1</x:v>
      </x:c>
      <x:c r="D484" s="54" t="b">
        <x:f>COUNTIF('Inventory'!$A$4:$A$431,A484)=1</x:f>
        <x:v>1</x:v>
      </x:c>
      <x:c r="E484" s="54" t="b">
        <x:f>COUNTIF('Inventory'!$A$4:$A$431,B484)=1</x:f>
        <x:v>1</x:v>
      </x:c>
      <x:c r="F484" s="54" t="b">
        <x:f>A484=B484</x:f>
        <x:v>0</x:v>
      </x:c>
      <x:c r="G484" s="54" t="str">
        <x:f>IF(AND(D484,E484,NOT(F484),C484&gt;0),"OK","CHECK")</x:f>
        <x:v>OK</x:v>
      </x:c>
    </x:row>
    <x:row r="485">
      <x:c r="A485" s="54" t="str">
        <x:v>QAR-0014</x:v>
      </x:c>
      <x:c r="B485" s="54" t="str">
        <x:v>ASM-0061</x:v>
      </x:c>
      <x:c r="C485" s="63" t="n">
        <x:v>1</x:v>
      </x:c>
      <x:c r="D485" s="54" t="b">
        <x:f>COUNTIF('Inventory'!$A$4:$A$431,A485)=1</x:f>
        <x:v>1</x:v>
      </x:c>
      <x:c r="E485" s="54" t="b">
        <x:f>COUNTIF('Inventory'!$A$4:$A$431,B485)=1</x:f>
        <x:v>1</x:v>
      </x:c>
      <x:c r="F485" s="54" t="b">
        <x:f>A485=B485</x:f>
        <x:v>0</x:v>
      </x:c>
      <x:c r="G485" s="54" t="str">
        <x:f>IF(AND(D485,E485,NOT(F485),C485&gt;0),"OK","CHECK")</x:f>
        <x:v>OK</x:v>
      </x:c>
    </x:row>
    <x:row r="486">
      <x:c r="A486" s="54" t="str">
        <x:v>QAR-0054</x:v>
      </x:c>
      <x:c r="B486" s="54" t="str">
        <x:v>ASM-0057</x:v>
      </x:c>
      <x:c r="C486" s="63" t="n">
        <x:v>1</x:v>
      </x:c>
      <x:c r="D486" s="54" t="b">
        <x:f>COUNTIF('Inventory'!$A$4:$A$431,A486)=1</x:f>
        <x:v>1</x:v>
      </x:c>
      <x:c r="E486" s="54" t="b">
        <x:f>COUNTIF('Inventory'!$A$4:$A$431,B486)=1</x:f>
        <x:v>1</x:v>
      </x:c>
      <x:c r="F486" s="54" t="b">
        <x:f>A486=B486</x:f>
        <x:v>0</x:v>
      </x:c>
      <x:c r="G486" s="54" t="str">
        <x:f>IF(AND(D486,E486,NOT(F486),C486&gt;0),"OK","CHECK")</x:f>
        <x:v>OK</x:v>
      </x:c>
    </x:row>
    <x:row r="487">
      <x:c r="A487" s="54" t="str">
        <x:v>QAR-0054</x:v>
      </x:c>
      <x:c r="B487" s="54" t="str">
        <x:v>ASM-0058</x:v>
      </x:c>
      <x:c r="C487" s="63" t="n">
        <x:v>4</x:v>
      </x:c>
      <x:c r="D487" s="54" t="b">
        <x:f>COUNTIF('Inventory'!$A$4:$A$431,A487)=1</x:f>
        <x:v>1</x:v>
      </x:c>
      <x:c r="E487" s="54" t="b">
        <x:f>COUNTIF('Inventory'!$A$4:$A$431,B487)=1</x:f>
        <x:v>1</x:v>
      </x:c>
      <x:c r="F487" s="54" t="b">
        <x:f>A487=B487</x:f>
        <x:v>0</x:v>
      </x:c>
      <x:c r="G487" s="54" t="str">
        <x:f>IF(AND(D487,E487,NOT(F487),C487&gt;0),"OK","CHECK")</x:f>
        <x:v>OK</x:v>
      </x:c>
    </x:row>
    <x:row r="488">
      <x:c r="A488" s="54" t="str">
        <x:v>QAR-0054</x:v>
      </x:c>
      <x:c r="B488" s="54" t="str">
        <x:v>ASM-0059</x:v>
      </x:c>
      <x:c r="C488" s="63" t="n">
        <x:v>1</x:v>
      </x:c>
      <x:c r="D488" s="54" t="b">
        <x:f>COUNTIF('Inventory'!$A$4:$A$431,A488)=1</x:f>
        <x:v>1</x:v>
      </x:c>
      <x:c r="E488" s="54" t="b">
        <x:f>COUNTIF('Inventory'!$A$4:$A$431,B488)=1</x:f>
        <x:v>1</x:v>
      </x:c>
      <x:c r="F488" s="54" t="b">
        <x:f>A488=B488</x:f>
        <x:v>0</x:v>
      </x:c>
      <x:c r="G488" s="54" t="str">
        <x:f>IF(AND(D488,E488,NOT(F488),C488&gt;0),"OK","CHECK")</x:f>
        <x:v>OK</x:v>
      </x:c>
    </x:row>
    <x:row r="489">
      <x:c r="A489" s="54" t="str">
        <x:v>QAR-0054</x:v>
      </x:c>
      <x:c r="B489" s="54" t="str">
        <x:v>KIT-0041</x:v>
      </x:c>
      <x:c r="C489" s="63" t="n">
        <x:v>1</x:v>
      </x:c>
      <x:c r="D489" s="54" t="b">
        <x:f>COUNTIF('Inventory'!$A$4:$A$431,A489)=1</x:f>
        <x:v>1</x:v>
      </x:c>
      <x:c r="E489" s="54" t="b">
        <x:f>COUNTIF('Inventory'!$A$4:$A$431,B489)=1</x:f>
        <x:v>1</x:v>
      </x:c>
      <x:c r="F489" s="54" t="b">
        <x:f>A489=B489</x:f>
        <x:v>0</x:v>
      </x:c>
      <x:c r="G489" s="54" t="str">
        <x:f>IF(AND(D489,E489,NOT(F489),C489&gt;0),"OK","CHECK")</x:f>
        <x:v>OK</x:v>
      </x:c>
    </x:row>
    <x:row r="490">
      <x:c r="A490" s="54" t="str">
        <x:v>QAR-0054</x:v>
      </x:c>
      <x:c r="B490" s="54" t="str">
        <x:v>ASM-0035</x:v>
      </x:c>
      <x:c r="C490" s="63" t="n">
        <x:v>2</x:v>
      </x:c>
      <x:c r="D490" s="54" t="b">
        <x:f>COUNTIF('Inventory'!$A$4:$A$431,A490)=1</x:f>
        <x:v>1</x:v>
      </x:c>
      <x:c r="E490" s="54" t="b">
        <x:f>COUNTIF('Inventory'!$A$4:$A$431,B490)=1</x:f>
        <x:v>1</x:v>
      </x:c>
      <x:c r="F490" s="54" t="b">
        <x:f>A490=B490</x:f>
        <x:v>0</x:v>
      </x:c>
      <x:c r="G490" s="54" t="str">
        <x:f>IF(AND(D490,E490,NOT(F490),C490&gt;0),"OK","CHECK")</x:f>
        <x:v>OK</x:v>
      </x:c>
    </x:row>
    <x:row r="491">
      <x:c r="A491" s="54" t="str">
        <x:v>KIT-0045</x:v>
      </x:c>
      <x:c r="B491" s="54" t="str">
        <x:v>ASM-0060</x:v>
      </x:c>
      <x:c r="C491" s="63" t="n">
        <x:v>1</x:v>
      </x:c>
      <x:c r="D491" s="54" t="b">
        <x:f>COUNTIF('Inventory'!$A$4:$A$431,A491)=1</x:f>
        <x:v>1</x:v>
      </x:c>
      <x:c r="E491" s="54" t="b">
        <x:f>COUNTIF('Inventory'!$A$4:$A$431,B491)=1</x:f>
        <x:v>1</x:v>
      </x:c>
      <x:c r="F491" s="54" t="b">
        <x:f>A491=B491</x:f>
        <x:v>0</x:v>
      </x:c>
      <x:c r="G491" s="54" t="str">
        <x:f>IF(AND(D491,E491,NOT(F491),C491&gt;0),"OK","CHECK")</x:f>
        <x:v>OK</x:v>
      </x:c>
    </x:row>
    <x:row r="492">
      <x:c r="A492" s="54" t="str">
        <x:v>KIT-0045</x:v>
      </x:c>
      <x:c r="B492" s="54" t="str">
        <x:v>PKG-0016</x:v>
      </x:c>
      <x:c r="C492" s="63" t="n">
        <x:v>4</x:v>
      </x:c>
      <x:c r="D492" s="54" t="b">
        <x:f>COUNTIF('Inventory'!$A$4:$A$431,A492)=1</x:f>
        <x:v>1</x:v>
      </x:c>
      <x:c r="E492" s="54" t="b">
        <x:f>COUNTIF('Inventory'!$A$4:$A$431,B492)=1</x:f>
        <x:v>1</x:v>
      </x:c>
      <x:c r="F492" s="54" t="b">
        <x:f>A492=B492</x:f>
        <x:v>0</x:v>
      </x:c>
      <x:c r="G492" s="54" t="str">
        <x:f>IF(AND(D492,E492,NOT(F492),C492&gt;0),"OK","CHECK")</x:f>
        <x:v>OK</x:v>
      </x:c>
    </x:row>
    <x:row r="493">
      <x:c r="A493" s="54" t="str">
        <x:v>KIT-0045</x:v>
      </x:c>
      <x:c r="B493" s="54" t="str">
        <x:v>MAT-0039</x:v>
      </x:c>
      <x:c r="C493" s="63" t="n">
        <x:v>24</x:v>
      </x:c>
      <x:c r="D493" s="54" t="b">
        <x:f>COUNTIF('Inventory'!$A$4:$A$431,A493)=1</x:f>
        <x:v>1</x:v>
      </x:c>
      <x:c r="E493" s="54" t="b">
        <x:f>COUNTIF('Inventory'!$A$4:$A$431,B493)=1</x:f>
        <x:v>1</x:v>
      </x:c>
      <x:c r="F493" s="54" t="b">
        <x:f>A493=B493</x:f>
        <x:v>0</x:v>
      </x:c>
      <x:c r="G493" s="54" t="str">
        <x:f>IF(AND(D493,E493,NOT(F493),C493&gt;0),"OK","CHECK")</x:f>
        <x:v>OK</x:v>
      </x:c>
    </x:row>
    <x:row r="494">
      <x:c r="A494" s="54" t="str">
        <x:v>KIT-0045</x:v>
      </x:c>
      <x:c r="B494" s="54" t="str">
        <x:v>DOC-0002</x:v>
      </x:c>
      <x:c r="C494" s="63" t="n">
        <x:v>4</x:v>
      </x:c>
      <x:c r="D494" s="54" t="b">
        <x:f>COUNTIF('Inventory'!$A$4:$A$431,A494)=1</x:f>
        <x:v>1</x:v>
      </x:c>
      <x:c r="E494" s="54" t="b">
        <x:f>COUNTIF('Inventory'!$A$4:$A$431,B494)=1</x:f>
        <x:v>1</x:v>
      </x:c>
      <x:c r="F494" s="54" t="b">
        <x:f>A494=B494</x:f>
        <x:v>0</x:v>
      </x:c>
      <x:c r="G494" s="54" t="str">
        <x:f>IF(AND(D494,E494,NOT(F494),C494&gt;0),"OK","CHECK")</x:f>
        <x:v>OK</x:v>
      </x:c>
    </x:row>
    <x:row r="495">
      <x:c r="A495" s="54" t="str">
        <x:v>KIT-0045</x:v>
      </x:c>
      <x:c r="B495" s="54" t="str">
        <x:v>DOC-0003</x:v>
      </x:c>
      <x:c r="C495" s="63" t="n">
        <x:v>2</x:v>
      </x:c>
      <x:c r="D495" s="54" t="b">
        <x:f>COUNTIF('Inventory'!$A$4:$A$431,A495)=1</x:f>
        <x:v>1</x:v>
      </x:c>
      <x:c r="E495" s="54" t="b">
        <x:f>COUNTIF('Inventory'!$A$4:$A$431,B495)=1</x:f>
        <x:v>1</x:v>
      </x:c>
      <x:c r="F495" s="54" t="b">
        <x:f>A495=B495</x:f>
        <x:v>0</x:v>
      </x:c>
      <x:c r="G495" s="54" t="str">
        <x:f>IF(AND(D495,E495,NOT(F495),C495&gt;0),"OK","CHECK")</x:f>
        <x:v>OK</x:v>
      </x:c>
    </x:row>
    <x:row r="496">
      <x:c r="A496" s="54" t="str">
        <x:v>KIT-0045</x:v>
      </x:c>
      <x:c r="B496" s="54" t="str">
        <x:v>MAT-0040</x:v>
      </x:c>
      <x:c r="C496" s="63" t="n">
        <x:v>12</x:v>
      </x:c>
      <x:c r="D496" s="54" t="b">
        <x:f>COUNTIF('Inventory'!$A$4:$A$431,A496)=1</x:f>
        <x:v>1</x:v>
      </x:c>
      <x:c r="E496" s="54" t="b">
        <x:f>COUNTIF('Inventory'!$A$4:$A$431,B496)=1</x:f>
        <x:v>1</x:v>
      </x:c>
      <x:c r="F496" s="54" t="b">
        <x:f>A496=B496</x:f>
        <x:v>0</x:v>
      </x:c>
      <x:c r="G496" s="54" t="str">
        <x:f>IF(AND(D496,E496,NOT(F496),C496&gt;0),"OK","CHECK")</x:f>
        <x:v>OK</x:v>
      </x:c>
    </x:row>
    <x:row r="497">
      <x:c r="A497" s="54" t="str">
        <x:v>KIT-0045</x:v>
      </x:c>
      <x:c r="B497" s="54" t="str">
        <x:v>DOC-0001</x:v>
      </x:c>
      <x:c r="C497" s="63" t="n">
        <x:v>1</x:v>
      </x:c>
      <x:c r="D497" s="54" t="b">
        <x:f>COUNTIF('Inventory'!$A$4:$A$431,A497)=1</x:f>
        <x:v>1</x:v>
      </x:c>
      <x:c r="E497" s="54" t="b">
        <x:f>COUNTIF('Inventory'!$A$4:$A$431,B497)=1</x:f>
        <x:v>1</x:v>
      </x:c>
      <x:c r="F497" s="54" t="b">
        <x:f>A497=B497</x:f>
        <x:v>0</x:v>
      </x:c>
      <x:c r="G497" s="54" t="str">
        <x:f>IF(AND(D497,E497,NOT(F497),C497&gt;0),"OK","CHECK")</x:f>
        <x:v>OK</x:v>
      </x:c>
    </x:row>
    <x:row r="498">
      <x:c r="A498" s="54" t="str">
        <x:v>QAR-0015</x:v>
      </x:c>
      <x:c r="B498" s="54" t="str">
        <x:v>OFT-0024</x:v>
      </x:c>
      <x:c r="C498" s="63" t="n">
        <x:v>1</x:v>
      </x:c>
      <x:c r="D498" s="54" t="b">
        <x:f>COUNTIF('Inventory'!$A$4:$A$431,A498)=1</x:f>
        <x:v>1</x:v>
      </x:c>
      <x:c r="E498" s="54" t="b">
        <x:f>COUNTIF('Inventory'!$A$4:$A$431,B498)=1</x:f>
        <x:v>1</x:v>
      </x:c>
      <x:c r="F498" s="54" t="b">
        <x:f>A498=B498</x:f>
        <x:v>0</x:v>
      </x:c>
      <x:c r="G498" s="54" t="str">
        <x:f>IF(AND(D498,E498,NOT(F498),C498&gt;0),"OK","CHECK")</x:f>
        <x:v>OK</x:v>
      </x:c>
    </x:row>
    <x:row r="499">
      <x:c r="A499" s="54" t="str">
        <x:v>QAR-0015</x:v>
      </x:c>
      <x:c r="B499" s="54" t="str">
        <x:v>OFT-0025</x:v>
      </x:c>
      <x:c r="C499" s="63" t="n">
        <x:v>1</x:v>
      </x:c>
      <x:c r="D499" s="54" t="b">
        <x:f>COUNTIF('Inventory'!$A$4:$A$431,A499)=1</x:f>
        <x:v>1</x:v>
      </x:c>
      <x:c r="E499" s="54" t="b">
        <x:f>COUNTIF('Inventory'!$A$4:$A$431,B499)=1</x:f>
        <x:v>1</x:v>
      </x:c>
      <x:c r="F499" s="54" t="b">
        <x:f>A499=B499</x:f>
        <x:v>0</x:v>
      </x:c>
      <x:c r="G499" s="54" t="str">
        <x:f>IF(AND(D499,E499,NOT(F499),C499&gt;0),"OK","CHECK")</x:f>
        <x:v>OK</x:v>
      </x:c>
    </x:row>
    <x:row r="500">
      <x:c r="A500" s="54" t="str">
        <x:v>QAR-0015</x:v>
      </x:c>
      <x:c r="B500" s="54" t="str">
        <x:v>OFT-0026</x:v>
      </x:c>
      <x:c r="C500" s="63" t="n">
        <x:v>1</x:v>
      </x:c>
      <x:c r="D500" s="54" t="b">
        <x:f>COUNTIF('Inventory'!$A$4:$A$431,A500)=1</x:f>
        <x:v>1</x:v>
      </x:c>
      <x:c r="E500" s="54" t="b">
        <x:f>COUNTIF('Inventory'!$A$4:$A$431,B500)=1</x:f>
        <x:v>1</x:v>
      </x:c>
      <x:c r="F500" s="54" t="b">
        <x:f>A500=B500</x:f>
        <x:v>0</x:v>
      </x:c>
      <x:c r="G500" s="54" t="str">
        <x:f>IF(AND(D500,E500,NOT(F500),C500&gt;0),"OK","CHECK")</x:f>
        <x:v>OK</x:v>
      </x:c>
    </x:row>
    <x:row r="501">
      <x:c r="A501" s="54" t="str">
        <x:v>OFT-0024</x:v>
      </x:c>
      <x:c r="B501" s="54" t="str">
        <x:v>PRT-0154</x:v>
      </x:c>
      <x:c r="C501" s="63" t="n">
        <x:v>36</x:v>
      </x:c>
      <x:c r="D501" s="54" t="b">
        <x:f>COUNTIF('Inventory'!$A$4:$A$431,A501)=1</x:f>
        <x:v>1</x:v>
      </x:c>
      <x:c r="E501" s="54" t="b">
        <x:f>COUNTIF('Inventory'!$A$4:$A$431,B501)=1</x:f>
        <x:v>1</x:v>
      </x:c>
      <x:c r="F501" s="54" t="b">
        <x:f>A501=B501</x:f>
        <x:v>0</x:v>
      </x:c>
      <x:c r="G501" s="54" t="str">
        <x:f>IF(AND(D501,E501,NOT(F501),C501&gt;0),"OK","CHECK")</x:f>
        <x:v>OK</x:v>
      </x:c>
    </x:row>
    <x:row r="502">
      <x:c r="A502" s="54" t="str">
        <x:v>OFT-0024</x:v>
      </x:c>
      <x:c r="B502" s="54" t="str">
        <x:v>ASM-0062</x:v>
      </x:c>
      <x:c r="C502" s="63" t="n">
        <x:v>8</x:v>
      </x:c>
      <x:c r="D502" s="54" t="b">
        <x:f>COUNTIF('Inventory'!$A$4:$A$431,A502)=1</x:f>
        <x:v>1</x:v>
      </x:c>
      <x:c r="E502" s="54" t="b">
        <x:f>COUNTIF('Inventory'!$A$4:$A$431,B502)=1</x:f>
        <x:v>1</x:v>
      </x:c>
      <x:c r="F502" s="54" t="b">
        <x:f>A502=B502</x:f>
        <x:v>0</x:v>
      </x:c>
      <x:c r="G502" s="54" t="str">
        <x:f>IF(AND(D502,E502,NOT(F502),C502&gt;0),"OK","CHECK")</x:f>
        <x:v>OK</x:v>
      </x:c>
    </x:row>
    <x:row r="503">
      <x:c r="A503" s="54" t="str">
        <x:v>OFT-0024</x:v>
      </x:c>
      <x:c r="B503" s="54" t="str">
        <x:v>PRT-0155</x:v>
      </x:c>
      <x:c r="C503" s="63" t="n">
        <x:v>12</x:v>
      </x:c>
      <x:c r="D503" s="54" t="b">
        <x:f>COUNTIF('Inventory'!$A$4:$A$431,A503)=1</x:f>
        <x:v>1</x:v>
      </x:c>
      <x:c r="E503" s="54" t="b">
        <x:f>COUNTIF('Inventory'!$A$4:$A$431,B503)=1</x:f>
        <x:v>1</x:v>
      </x:c>
      <x:c r="F503" s="54" t="b">
        <x:f>A503=B503</x:f>
        <x:v>0</x:v>
      </x:c>
      <x:c r="G503" s="54" t="str">
        <x:f>IF(AND(D503,E503,NOT(F503),C503&gt;0),"OK","CHECK")</x:f>
        <x:v>OK</x:v>
      </x:c>
    </x:row>
    <x:row r="504">
      <x:c r="A504" s="54" t="str">
        <x:v>OFT-0024</x:v>
      </x:c>
      <x:c r="B504" s="54" t="str">
        <x:v>PRT-0156</x:v>
      </x:c>
      <x:c r="C504" s="63" t="n">
        <x:v>12</x:v>
      </x:c>
      <x:c r="D504" s="54" t="b">
        <x:f>COUNTIF('Inventory'!$A$4:$A$431,A504)=1</x:f>
        <x:v>1</x:v>
      </x:c>
      <x:c r="E504" s="54" t="b">
        <x:f>COUNTIF('Inventory'!$A$4:$A$431,B504)=1</x:f>
        <x:v>1</x:v>
      </x:c>
      <x:c r="F504" s="54" t="b">
        <x:f>A504=B504</x:f>
        <x:v>0</x:v>
      </x:c>
      <x:c r="G504" s="54" t="str">
        <x:f>IF(AND(D504,E504,NOT(F504),C504&gt;0),"OK","CHECK")</x:f>
        <x:v>OK</x:v>
      </x:c>
    </x:row>
    <x:row r="505">
      <x:c r="A505" s="54" t="str">
        <x:v>OFT-0024</x:v>
      </x:c>
      <x:c r="B505" s="54" t="str">
        <x:v>LBL-0012</x:v>
      </x:c>
      <x:c r="C505" s="63" t="n">
        <x:v>12</x:v>
      </x:c>
      <x:c r="D505" s="54" t="b">
        <x:f>COUNTIF('Inventory'!$A$4:$A$431,A505)=1</x:f>
        <x:v>1</x:v>
      </x:c>
      <x:c r="E505" s="54" t="b">
        <x:f>COUNTIF('Inventory'!$A$4:$A$431,B505)=1</x:f>
        <x:v>1</x:v>
      </x:c>
      <x:c r="F505" s="54" t="b">
        <x:f>A505=B505</x:f>
        <x:v>0</x:v>
      </x:c>
      <x:c r="G505" s="54" t="str">
        <x:f>IF(AND(D505,E505,NOT(F505),C505&gt;0),"OK","CHECK")</x:f>
        <x:v>OK</x:v>
      </x:c>
    </x:row>
    <x:row r="506">
      <x:c r="A506" s="54" t="str">
        <x:v>OFT-0025</x:v>
      </x:c>
      <x:c r="B506" s="54" t="str">
        <x:v>KIT-0047</x:v>
      </x:c>
      <x:c r="C506" s="63" t="n">
        <x:v>8</x:v>
      </x:c>
      <x:c r="D506" s="54" t="b">
        <x:f>COUNTIF('Inventory'!$A$4:$A$431,A506)=1</x:f>
        <x:v>1</x:v>
      </x:c>
      <x:c r="E506" s="54" t="b">
        <x:f>COUNTIF('Inventory'!$A$4:$A$431,B506)=1</x:f>
        <x:v>1</x:v>
      </x:c>
      <x:c r="F506" s="54" t="b">
        <x:f>A506=B506</x:f>
        <x:v>0</x:v>
      </x:c>
      <x:c r="G506" s="54" t="str">
        <x:f>IF(AND(D506,E506,NOT(F506),C506&gt;0),"OK","CHECK")</x:f>
        <x:v>OK</x:v>
      </x:c>
    </x:row>
    <x:row r="507">
      <x:c r="A507" s="54" t="str">
        <x:v>OFT-0025</x:v>
      </x:c>
      <x:c r="B507" s="54" t="str">
        <x:v>ASM-0063</x:v>
      </x:c>
      <x:c r="C507" s="63" t="n">
        <x:v>4</x:v>
      </x:c>
      <x:c r="D507" s="54" t="b">
        <x:f>COUNTIF('Inventory'!$A$4:$A$431,A507)=1</x:f>
        <x:v>1</x:v>
      </x:c>
      <x:c r="E507" s="54" t="b">
        <x:f>COUNTIF('Inventory'!$A$4:$A$431,B507)=1</x:f>
        <x:v>1</x:v>
      </x:c>
      <x:c r="F507" s="54" t="b">
        <x:f>A507=B507</x:f>
        <x:v>0</x:v>
      </x:c>
      <x:c r="G507" s="54" t="str">
        <x:f>IF(AND(D507,E507,NOT(F507),C507&gt;0),"OK","CHECK")</x:f>
        <x:v>OK</x:v>
      </x:c>
    </x:row>
    <x:row r="508">
      <x:c r="A508" s="54" t="str">
        <x:v>OFT-0025</x:v>
      </x:c>
      <x:c r="B508" s="54" t="str">
        <x:v>ASM-0007</x:v>
      </x:c>
      <x:c r="C508" s="63" t="n">
        <x:v>24</x:v>
      </x:c>
      <x:c r="D508" s="54" t="b">
        <x:f>COUNTIF('Inventory'!$A$4:$A$431,A508)=1</x:f>
        <x:v>1</x:v>
      </x:c>
      <x:c r="E508" s="54" t="b">
        <x:f>COUNTIF('Inventory'!$A$4:$A$431,B508)=1</x:f>
        <x:v>1</x:v>
      </x:c>
      <x:c r="F508" s="54" t="b">
        <x:f>A508=B508</x:f>
        <x:v>0</x:v>
      </x:c>
      <x:c r="G508" s="54" t="str">
        <x:f>IF(AND(D508,E508,NOT(F508),C508&gt;0),"OK","CHECK")</x:f>
        <x:v>OK</x:v>
      </x:c>
    </x:row>
    <x:row r="509">
      <x:c r="A509" s="54" t="str">
        <x:v>OFT-0025</x:v>
      </x:c>
      <x:c r="B509" s="54" t="str">
        <x:v>KIT-0030</x:v>
      </x:c>
      <x:c r="C509" s="63" t="n">
        <x:v>2</x:v>
      </x:c>
      <x:c r="D509" s="54" t="b">
        <x:f>COUNTIF('Inventory'!$A$4:$A$431,A509)=1</x:f>
        <x:v>1</x:v>
      </x:c>
      <x:c r="E509" s="54" t="b">
        <x:f>COUNTIF('Inventory'!$A$4:$A$431,B509)=1</x:f>
        <x:v>1</x:v>
      </x:c>
      <x:c r="F509" s="54" t="b">
        <x:f>A509=B509</x:f>
        <x:v>0</x:v>
      </x:c>
      <x:c r="G509" s="54" t="str">
        <x:f>IF(AND(D509,E509,NOT(F509),C509&gt;0),"OK","CHECK")</x:f>
        <x:v>OK</x:v>
      </x:c>
    </x:row>
    <x:row r="510">
      <x:c r="A510" s="54" t="str">
        <x:v>OFT-0025</x:v>
      </x:c>
      <x:c r="B510" s="54" t="str">
        <x:v>LBL-0013</x:v>
      </x:c>
      <x:c r="C510" s="63" t="n">
        <x:v>8</x:v>
      </x:c>
      <x:c r="D510" s="54" t="b">
        <x:f>COUNTIF('Inventory'!$A$4:$A$431,A510)=1</x:f>
        <x:v>1</x:v>
      </x:c>
      <x:c r="E510" s="54" t="b">
        <x:f>COUNTIF('Inventory'!$A$4:$A$431,B510)=1</x:f>
        <x:v>1</x:v>
      </x:c>
      <x:c r="F510" s="54" t="b">
        <x:f>A510=B510</x:f>
        <x:v>0</x:v>
      </x:c>
      <x:c r="G510" s="54" t="str">
        <x:f>IF(AND(D510,E510,NOT(F510),C510&gt;0),"OK","CHECK")</x:f>
        <x:v>OK</x:v>
      </x:c>
    </x:row>
    <x:row r="511">
      <x:c r="A511" s="54" t="str">
        <x:v>OFT-0026</x:v>
      </x:c>
      <x:c r="B511" s="54" t="str">
        <x:v>KIT-0048</x:v>
      </x:c>
      <x:c r="C511" s="63" t="n">
        <x:v>3</x:v>
      </x:c>
      <x:c r="D511" s="54" t="b">
        <x:f>COUNTIF('Inventory'!$A$4:$A$431,A511)=1</x:f>
        <x:v>1</x:v>
      </x:c>
      <x:c r="E511" s="54" t="b">
        <x:f>COUNTIF('Inventory'!$A$4:$A$431,B511)=1</x:f>
        <x:v>1</x:v>
      </x:c>
      <x:c r="F511" s="54" t="b">
        <x:f>A511=B511</x:f>
        <x:v>0</x:v>
      </x:c>
      <x:c r="G511" s="54" t="str">
        <x:f>IF(AND(D511,E511,NOT(F511),C511&gt;0),"OK","CHECK")</x:f>
        <x:v>OK</x:v>
      </x:c>
    </x:row>
    <x:row r="512">
      <x:c r="A512" s="54" t="str">
        <x:v>OFT-0026</x:v>
      </x:c>
      <x:c r="B512" s="54" t="str">
        <x:v>PKG-0017</x:v>
      </x:c>
      <x:c r="C512" s="63" t="n">
        <x:v>12</x:v>
      </x:c>
      <x:c r="D512" s="54" t="b">
        <x:f>COUNTIF('Inventory'!$A$4:$A$431,A512)=1</x:f>
        <x:v>1</x:v>
      </x:c>
      <x:c r="E512" s="54" t="b">
        <x:f>COUNTIF('Inventory'!$A$4:$A$431,B512)=1</x:f>
        <x:v>1</x:v>
      </x:c>
      <x:c r="F512" s="54" t="b">
        <x:f>A512=B512</x:f>
        <x:v>0</x:v>
      </x:c>
      <x:c r="G512" s="54" t="str">
        <x:f>IF(AND(D512,E512,NOT(F512),C512&gt;0),"OK","CHECK")</x:f>
        <x:v>OK</x:v>
      </x:c>
    </x:row>
    <x:row r="513">
      <x:c r="A513" s="54" t="str">
        <x:v>OFT-0026</x:v>
      </x:c>
      <x:c r="B513" s="54" t="str">
        <x:v>ASM-0035</x:v>
      </x:c>
      <x:c r="C513" s="63" t="n">
        <x:v>6</x:v>
      </x:c>
      <x:c r="D513" s="54" t="b">
        <x:f>COUNTIF('Inventory'!$A$4:$A$431,A513)=1</x:f>
        <x:v>1</x:v>
      </x:c>
      <x:c r="E513" s="54" t="b">
        <x:f>COUNTIF('Inventory'!$A$4:$A$431,B513)=1</x:f>
        <x:v>1</x:v>
      </x:c>
      <x:c r="F513" s="54" t="b">
        <x:f>A513=B513</x:f>
        <x:v>0</x:v>
      </x:c>
      <x:c r="G513" s="54" t="str">
        <x:f>IF(AND(D513,E513,NOT(F513),C513&gt;0),"OK","CHECK")</x:f>
        <x:v>OK</x:v>
      </x:c>
    </x:row>
    <x:row r="514">
      <x:c r="A514" s="54" t="str">
        <x:v>OFT-0026</x:v>
      </x:c>
      <x:c r="B514" s="54" t="str">
        <x:v>KIT-0027</x:v>
      </x:c>
      <x:c r="C514" s="63" t="n">
        <x:v>1</x:v>
      </x:c>
      <x:c r="D514" s="54" t="b">
        <x:f>COUNTIF('Inventory'!$A$4:$A$431,A514)=1</x:f>
        <x:v>1</x:v>
      </x:c>
      <x:c r="E514" s="54" t="b">
        <x:f>COUNTIF('Inventory'!$A$4:$A$431,B514)=1</x:f>
        <x:v>1</x:v>
      </x:c>
      <x:c r="F514" s="54" t="b">
        <x:f>A514=B514</x:f>
        <x:v>0</x:v>
      </x:c>
      <x:c r="G514" s="54" t="str">
        <x:f>IF(AND(D514,E514,NOT(F514),C514&gt;0),"OK","CHECK")</x:f>
        <x:v>OK</x:v>
      </x:c>
    </x:row>
    <x:row r="515">
      <x:c r="A515" s="54" t="str">
        <x:v>KIT-0048</x:v>
      </x:c>
      <x:c r="B515" s="54" t="str">
        <x:v>ASM-0045</x:v>
      </x:c>
      <x:c r="C515" s="63" t="n">
        <x:v>2</x:v>
      </x:c>
      <x:c r="D515" s="54" t="b">
        <x:f>COUNTIF('Inventory'!$A$4:$A$431,A515)=1</x:f>
        <x:v>1</x:v>
      </x:c>
      <x:c r="E515" s="54" t="b">
        <x:f>COUNTIF('Inventory'!$A$4:$A$431,B515)=1</x:f>
        <x:v>1</x:v>
      </x:c>
      <x:c r="F515" s="54" t="b">
        <x:f>A515=B515</x:f>
        <x:v>0</x:v>
      </x:c>
      <x:c r="G515" s="54" t="str">
        <x:f>IF(AND(D515,E515,NOT(F515),C515&gt;0),"OK","CHECK")</x:f>
        <x:v>OK</x:v>
      </x:c>
    </x:row>
    <x:row r="516">
      <x:c r="A516" s="54" t="str">
        <x:v>KIT-0048</x:v>
      </x:c>
      <x:c r="B516" s="54" t="str">
        <x:v>ASM-0042</x:v>
      </x:c>
      <x:c r="C516" s="63" t="n">
        <x:v>1</x:v>
      </x:c>
      <x:c r="D516" s="54" t="b">
        <x:f>COUNTIF('Inventory'!$A$4:$A$431,A516)=1</x:f>
        <x:v>1</x:v>
      </x:c>
      <x:c r="E516" s="54" t="b">
        <x:f>COUNTIF('Inventory'!$A$4:$A$431,B516)=1</x:f>
        <x:v>1</x:v>
      </x:c>
      <x:c r="F516" s="54" t="b">
        <x:f>A516=B516</x:f>
        <x:v>0</x:v>
      </x:c>
      <x:c r="G516" s="54" t="str">
        <x:f>IF(AND(D516,E516,NOT(F516),C516&gt;0),"OK","CHECK")</x:f>
        <x:v>OK</x:v>
      </x:c>
    </x:row>
    <x:row r="517">
      <x:c r="A517" s="54" t="str">
        <x:v>KIT-0048</x:v>
      </x:c>
      <x:c r="B517" s="54" t="str">
        <x:v>ASM-0043</x:v>
      </x:c>
      <x:c r="C517" s="63" t="n">
        <x:v>1</x:v>
      </x:c>
      <x:c r="D517" s="54" t="b">
        <x:f>COUNTIF('Inventory'!$A$4:$A$431,A517)=1</x:f>
        <x:v>1</x:v>
      </x:c>
      <x:c r="E517" s="54" t="b">
        <x:f>COUNTIF('Inventory'!$A$4:$A$431,B517)=1</x:f>
        <x:v>1</x:v>
      </x:c>
      <x:c r="F517" s="54" t="b">
        <x:f>A517=B517</x:f>
        <x:v>0</x:v>
      </x:c>
      <x:c r="G517" s="54" t="str">
        <x:f>IF(AND(D517,E517,NOT(F517),C517&gt;0),"OK","CHECK")</x:f>
        <x:v>OK</x:v>
      </x:c>
    </x:row>
    <x:row r="518">
      <x:c r="A518" s="54" t="str">
        <x:v>QAR-0016</x:v>
      </x:c>
      <x:c r="B518" s="54" t="str">
        <x:v>LBL-0014</x:v>
      </x:c>
      <x:c r="C518" s="63" t="n">
        <x:v>500</x:v>
      </x:c>
      <x:c r="D518" s="54" t="b">
        <x:f>COUNTIF('Inventory'!$A$4:$A$431,A518)=1</x:f>
        <x:v>1</x:v>
      </x:c>
      <x:c r="E518" s="54" t="b">
        <x:f>COUNTIF('Inventory'!$A$4:$A$431,B518)=1</x:f>
        <x:v>1</x:v>
      </x:c>
      <x:c r="F518" s="54" t="b">
        <x:f>A518=B518</x:f>
        <x:v>0</x:v>
      </x:c>
      <x:c r="G518" s="54" t="str">
        <x:f>IF(AND(D518,E518,NOT(F518),C518&gt;0),"OK","CHECK")</x:f>
        <x:v>OK</x:v>
      </x:c>
    </x:row>
    <x:row r="519">
      <x:c r="A519" s="54" t="str">
        <x:v>QAR-0016</x:v>
      </x:c>
      <x:c r="B519" s="54" t="str">
        <x:v>LBL-0015</x:v>
      </x:c>
      <x:c r="C519" s="63" t="n">
        <x:v>500</x:v>
      </x:c>
      <x:c r="D519" s="54" t="b">
        <x:f>COUNTIF('Inventory'!$A$4:$A$431,A519)=1</x:f>
        <x:v>1</x:v>
      </x:c>
      <x:c r="E519" s="54" t="b">
        <x:f>COUNTIF('Inventory'!$A$4:$A$431,B519)=1</x:f>
        <x:v>1</x:v>
      </x:c>
      <x:c r="F519" s="54" t="b">
        <x:f>A519=B519</x:f>
        <x:v>0</x:v>
      </x:c>
      <x:c r="G519" s="54" t="str">
        <x:f>IF(AND(D519,E519,NOT(F519),C519&gt;0),"OK","CHECK")</x:f>
        <x:v>OK</x:v>
      </x:c>
    </x:row>
    <x:row r="520">
      <x:c r="A520" s="54" t="str">
        <x:v>QAR-0016</x:v>
      </x:c>
      <x:c r="B520" s="54" t="str">
        <x:v>LBL-0016</x:v>
      </x:c>
      <x:c r="C520" s="63" t="n">
        <x:v>500</x:v>
      </x:c>
      <x:c r="D520" s="54" t="b">
        <x:f>COUNTIF('Inventory'!$A$4:$A$431,A520)=1</x:f>
        <x:v>1</x:v>
      </x:c>
      <x:c r="E520" s="54" t="b">
        <x:f>COUNTIF('Inventory'!$A$4:$A$431,B520)=1</x:f>
        <x:v>1</x:v>
      </x:c>
      <x:c r="F520" s="54" t="b">
        <x:f>A520=B520</x:f>
        <x:v>0</x:v>
      </x:c>
      <x:c r="G520" s="54" t="str">
        <x:f>IF(AND(D520,E520,NOT(F520),C520&gt;0),"OK","CHECK")</x:f>
        <x:v>OK</x:v>
      </x:c>
    </x:row>
    <x:row r="521">
      <x:c r="A521" s="54" t="str">
        <x:v>QAR-0016</x:v>
      </x:c>
      <x:c r="B521" s="54" t="str">
        <x:v>LBL-0017</x:v>
      </x:c>
      <x:c r="C521" s="63" t="n">
        <x:v>200</x:v>
      </x:c>
      <x:c r="D521" s="54" t="b">
        <x:f>COUNTIF('Inventory'!$A$4:$A$431,A521)=1</x:f>
        <x:v>1</x:v>
      </x:c>
      <x:c r="E521" s="54" t="b">
        <x:f>COUNTIF('Inventory'!$A$4:$A$431,B521)=1</x:f>
        <x:v>1</x:v>
      </x:c>
      <x:c r="F521" s="54" t="b">
        <x:f>A521=B521</x:f>
        <x:v>0</x:v>
      </x:c>
      <x:c r="G521" s="54" t="str">
        <x:f>IF(AND(D521,E521,NOT(F521),C521&gt;0),"OK","CHECK")</x:f>
        <x:v>OK</x:v>
      </x:c>
    </x:row>
    <x:row r="522">
      <x:c r="A522" s="54" t="str">
        <x:v>QAR-0016</x:v>
      </x:c>
      <x:c r="B522" s="54" t="str">
        <x:v>LBL-0018</x:v>
      </x:c>
      <x:c r="C522" s="63" t="n">
        <x:v>100</x:v>
      </x:c>
      <x:c r="D522" s="54" t="b">
        <x:f>COUNTIF('Inventory'!$A$4:$A$431,A522)=1</x:f>
        <x:v>1</x:v>
      </x:c>
      <x:c r="E522" s="54" t="b">
        <x:f>COUNTIF('Inventory'!$A$4:$A$431,B522)=1</x:f>
        <x:v>1</x:v>
      </x:c>
      <x:c r="F522" s="54" t="b">
        <x:f>A522=B522</x:f>
        <x:v>0</x:v>
      </x:c>
      <x:c r="G522" s="54" t="str">
        <x:f>IF(AND(D522,E522,NOT(F522),C522&gt;0),"OK","CHECK")</x:f>
        <x:v>OK</x:v>
      </x:c>
    </x:row>
    <x:row r="523">
      <x:c r="A523" s="54" t="str">
        <x:v>QAR-0016</x:v>
      </x:c>
      <x:c r="B523" s="54" t="str">
        <x:v>LBL-0019</x:v>
      </x:c>
      <x:c r="C523" s="63" t="n">
        <x:v>500</x:v>
      </x:c>
      <x:c r="D523" s="54" t="b">
        <x:f>COUNTIF('Inventory'!$A$4:$A$431,A523)=1</x:f>
        <x:v>1</x:v>
      </x:c>
      <x:c r="E523" s="54" t="b">
        <x:f>COUNTIF('Inventory'!$A$4:$A$431,B523)=1</x:f>
        <x:v>1</x:v>
      </x:c>
      <x:c r="F523" s="54" t="b">
        <x:f>A523=B523</x:f>
        <x:v>0</x:v>
      </x:c>
      <x:c r="G523" s="54" t="str">
        <x:f>IF(AND(D523,E523,NOT(F523),C523&gt;0),"OK","CHECK")</x:f>
        <x:v>OK</x:v>
      </x:c>
    </x:row>
    <x:row r="524">
      <x:c r="A524" s="54" t="str">
        <x:v>QAR-0016</x:v>
      </x:c>
      <x:c r="B524" s="54" t="str">
        <x:v>MAT-0041</x:v>
      </x:c>
      <x:c r="C524" s="63" t="n">
        <x:v>100</x:v>
      </x:c>
      <x:c r="D524" s="54" t="b">
        <x:f>COUNTIF('Inventory'!$A$4:$A$431,A524)=1</x:f>
        <x:v>1</x:v>
      </x:c>
      <x:c r="E524" s="54" t="b">
        <x:f>COUNTIF('Inventory'!$A$4:$A$431,B524)=1</x:f>
        <x:v>1</x:v>
      </x:c>
      <x:c r="F524" s="54" t="b">
        <x:f>A524=B524</x:f>
        <x:v>0</x:v>
      </x:c>
      <x:c r="G524" s="54" t="str">
        <x:f>IF(AND(D524,E524,NOT(F524),C524&gt;0),"OK","CHECK")</x:f>
        <x:v>OK</x:v>
      </x:c>
    </x:row>
    <x:row r="525">
      <x:c r="A525" s="54" t="str">
        <x:v>QAR-0016</x:v>
      </x:c>
      <x:c r="B525" s="54" t="str">
        <x:v>MAT-0042</x:v>
      </x:c>
      <x:c r="C525" s="63" t="n">
        <x:v>500</x:v>
      </x:c>
      <x:c r="D525" s="54" t="b">
        <x:f>COUNTIF('Inventory'!$A$4:$A$431,A525)=1</x:f>
        <x:v>1</x:v>
      </x:c>
      <x:c r="E525" s="54" t="b">
        <x:f>COUNTIF('Inventory'!$A$4:$A$431,B525)=1</x:f>
        <x:v>1</x:v>
      </x:c>
      <x:c r="F525" s="54" t="b">
        <x:f>A525=B525</x:f>
        <x:v>0</x:v>
      </x:c>
      <x:c r="G525" s="54" t="str">
        <x:f>IF(AND(D525,E525,NOT(F525),C525&gt;0),"OK","CHECK")</x:f>
        <x:v>OK</x:v>
      </x:c>
    </x:row>
    <x:row r="526">
      <x:c r="A526" s="54" t="str">
        <x:v>KIT-0024</x:v>
      </x:c>
      <x:c r="B526" s="54" t="str">
        <x:v>PRT-0120</x:v>
      </x:c>
      <x:c r="C526" s="63" t="n">
        <x:v>2</x:v>
      </x:c>
      <x:c r="D526" s="54" t="b">
        <x:f>COUNTIF('Inventory'!$A$4:$A$431,A526)=1</x:f>
        <x:v>1</x:v>
      </x:c>
      <x:c r="E526" s="54" t="b">
        <x:f>COUNTIF('Inventory'!$A$4:$A$431,B526)=1</x:f>
        <x:v>1</x:v>
      </x:c>
      <x:c r="F526" s="54" t="b">
        <x:f>A526=B526</x:f>
        <x:v>0</x:v>
      </x:c>
      <x:c r="G526" s="54" t="str">
        <x:f>IF(AND(D526,E526,NOT(F526),C526&gt;0),"OK","CHECK")</x:f>
        <x:v>OK</x:v>
      </x:c>
    </x:row>
    <x:row r="527">
      <x:c r="A527" s="54" t="str">
        <x:v>KIT-0024</x:v>
      </x:c>
      <x:c r="B527" s="54" t="str">
        <x:v>MAT-0010</x:v>
      </x:c>
      <x:c r="C527" s="63" t="n">
        <x:v>1</x:v>
      </x:c>
      <x:c r="D527" s="54" t="b">
        <x:f>COUNTIF('Inventory'!$A$4:$A$431,A527)=1</x:f>
        <x:v>1</x:v>
      </x:c>
      <x:c r="E527" s="54" t="b">
        <x:f>COUNTIF('Inventory'!$A$4:$A$431,B527)=1</x:f>
        <x:v>1</x:v>
      </x:c>
      <x:c r="F527" s="54" t="b">
        <x:f>A527=B527</x:f>
        <x:v>0</x:v>
      </x:c>
      <x:c r="G527" s="54" t="str">
        <x:f>IF(AND(D527,E527,NOT(F527),C527&gt;0),"OK","CHECK")</x:f>
        <x:v>OK</x:v>
      </x:c>
    </x:row>
    <x:row r="528">
      <x:c r="A528" s="54" t="str">
        <x:v>KIT-0024</x:v>
      </x:c>
      <x:c r="B528" s="54" t="str">
        <x:v>MAT-0011</x:v>
      </x:c>
      <x:c r="C528" s="63" t="n">
        <x:v>1</x:v>
      </x:c>
      <x:c r="D528" s="54" t="b">
        <x:f>COUNTIF('Inventory'!$A$4:$A$431,A528)=1</x:f>
        <x:v>1</x:v>
      </x:c>
      <x:c r="E528" s="54" t="b">
        <x:f>COUNTIF('Inventory'!$A$4:$A$431,B528)=1</x:f>
        <x:v>1</x:v>
      </x:c>
      <x:c r="F528" s="54" t="b">
        <x:f>A528=B528</x:f>
        <x:v>0</x:v>
      </x:c>
      <x:c r="G528" s="54" t="str">
        <x:f>IF(AND(D528,E528,NOT(F528),C528&gt;0),"OK","CHECK")</x:f>
        <x:v>OK</x:v>
      </x:c>
    </x:row>
    <x:row r="529">
      <x:c r="A529" s="54" t="str">
        <x:v>KIT-0024</x:v>
      </x:c>
      <x:c r="B529" s="54" t="str">
        <x:v>PRT-0116</x:v>
      </x:c>
      <x:c r="C529" s="63" t="n">
        <x:v>1</x:v>
      </x:c>
      <x:c r="D529" s="54" t="b">
        <x:f>COUNTIF('Inventory'!$A$4:$A$431,A529)=1</x:f>
        <x:v>1</x:v>
      </x:c>
      <x:c r="E529" s="54" t="b">
        <x:f>COUNTIF('Inventory'!$A$4:$A$431,B529)=1</x:f>
        <x:v>1</x:v>
      </x:c>
      <x:c r="F529" s="54" t="b">
        <x:f>A529=B529</x:f>
        <x:v>0</x:v>
      </x:c>
      <x:c r="G529" s="54" t="str">
        <x:f>IF(AND(D529,E529,NOT(F529),C529&gt;0),"OK","CHECK")</x:f>
        <x:v>OK</x:v>
      </x:c>
    </x:row>
    <x:row r="530">
      <x:c r="A530" s="54" t="str">
        <x:v>KIT-0024</x:v>
      </x:c>
      <x:c r="B530" s="54" t="str">
        <x:v>PRT-0002</x:v>
      </x:c>
      <x:c r="C530" s="63" t="n">
        <x:v>12</x:v>
      </x:c>
      <x:c r="D530" s="54" t="b">
        <x:f>COUNTIF('Inventory'!$A$4:$A$431,A530)=1</x:f>
        <x:v>1</x:v>
      </x:c>
      <x:c r="E530" s="54" t="b">
        <x:f>COUNTIF('Inventory'!$A$4:$A$431,B530)=1</x:f>
        <x:v>1</x:v>
      </x:c>
      <x:c r="F530" s="54" t="b">
        <x:f>A530=B530</x:f>
        <x:v>0</x:v>
      </x:c>
      <x:c r="G530" s="54" t="str">
        <x:f>IF(AND(D530,E530,NOT(F530),C530&gt;0),"OK","CHECK")</x:f>
        <x:v>OK</x:v>
      </x:c>
    </x:row>
    <x:row r="531">
      <x:c r="A531" s="54" t="str">
        <x:v>KIT-0024</x:v>
      </x:c>
      <x:c r="B531" s="54" t="str">
        <x:v>LBL-0014</x:v>
      </x:c>
      <x:c r="C531" s="63" t="n">
        <x:v>1</x:v>
      </x:c>
      <x:c r="D531" s="54" t="b">
        <x:f>COUNTIF('Inventory'!$A$4:$A$431,A531)=1</x:f>
        <x:v>1</x:v>
      </x:c>
      <x:c r="E531" s="54" t="b">
        <x:f>COUNTIF('Inventory'!$A$4:$A$431,B531)=1</x:f>
        <x:v>1</x:v>
      </x:c>
      <x:c r="F531" s="54" t="b">
        <x:f>A531=B531</x:f>
        <x:v>0</x:v>
      </x:c>
      <x:c r="G531" s="54" t="str">
        <x:f>IF(AND(D531,E531,NOT(F531),C531&gt;0),"OK","CHECK")</x:f>
        <x:v>OK</x:v>
      </x:c>
    </x:row>
  </x:sheetData>
  <x:mergeCells>
    <x:mergeCell ref="A1:G1"/>
    <x:mergeCell ref="A2:G2"/>
  </x:mergeCells>
  <x:conditionalFormatting sqref="G4:G531">
    <x:cfRule type="expression" dxfId="6" priority="1">
      <x:formula>G4&lt;&gt;"OK"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</x:cols>
  <x:sheetData>
    <x:row r="1" ht="34" customHeight="1">
      <x:c r="A1" s="3" t="str">
        <x:v>ITEM METADATA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6" t="str">
        <x:v>Optional companion fields for provenance, labels, stowage and safety behavior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5" customHeight="1">
      <x:c r="A3" s="60" t="str">
        <x:v>LocalSKU</x:v>
      </x:c>
      <x:c r="B3" s="61" t="str">
        <x:v>StockUOM</x:v>
      </x:c>
      <x:c r="C3" s="61" t="str">
        <x:v>UnitWeightLb</x:v>
      </x:c>
      <x:c r="D3" s="61" t="str">
        <x:v>Stowage</x:v>
      </x:c>
      <x:c r="E3" s="61" t="str">
        <x:v>HistoricalBasis</x:v>
      </x:c>
      <x:c r="F3" s="61" t="str">
        <x:v>Confidence</x:v>
      </x:c>
      <x:c r="G3" s="61" t="str">
        <x:v>SourceCode</x:v>
      </x:c>
      <x:c r="H3" s="61" t="str">
        <x:v>HazardClass</x:v>
      </x:c>
      <x:c r="I3" s="61" t="str">
        <x:v>LabelTemplate</x:v>
      </x:c>
      <x:c r="J3" s="62" t="str">
        <x:v>Notes</x:v>
      </x:c>
    </x:row>
    <x:row r="4">
      <x:c r="A4" s="54" t="str">
        <x:v>QAR-0001</x:v>
      </x:c>
      <x:c r="B4" s="54" t="str">
        <x:v>EA</x:v>
      </x:c>
      <x:c r="C4" s="64"/>
      <x:c r="D4" s="54" t="str">
        <x:v>COMPLETE VESSEL</x:v>
      </x:c>
      <x:c r="E4" s="54" t="str">
        <x:v>RECONSTRUCTED</x:v>
      </x:c>
      <x:c r="F4" s="54" t="str">
        <x:v>MEDIUM</x:v>
      </x:c>
      <x:c r="G4" s="54" t="str">
        <x:v>QAR-HIST</x:v>
      </x:c>
      <x:c r="H4" s="54" t="str"/>
      <x:c r="I4" s="54" t="str">
        <x:v>READINESS-MANIFEST</x:v>
      </x:c>
      <x:c r="J4" s="65" t="str">
        <x:v>Public demonstration BOM. Historical evidence, archaeological finds, period comparables, and explicitly fictional reconstruction controls are separated in metadata.</x:v>
      </x:c>
    </x:row>
    <x:row r="5">
      <x:c r="A5" s="54" t="str">
        <x:v>QAR-0002</x:v>
      </x:c>
      <x:c r="B5" s="54" t="str">
        <x:v>EA</x:v>
      </x:c>
      <x:c r="C5" s="64"/>
      <x:c r="D5" s="54" t="str">
        <x:v>SYSTEM-WIDE</x:v>
      </x:c>
      <x:c r="E5" s="54" t="str">
        <x:v>RECONSTRUCTED</x:v>
      </x:c>
      <x:c r="F5" s="54" t="str">
        <x:v>MEDIUM</x:v>
      </x:c>
      <x:c r="G5" s="54" t="str">
        <x:v>RECON</x:v>
      </x:c>
      <x:c r="H5" s="54" t="str"/>
      <x:c r="I5" s="54" t="str">
        <x:v>READINESS-MANIFEST</x:v>
      </x:c>
      <x:c r="J5" s="65" t="str"/>
    </x:row>
    <x:row r="6">
      <x:c r="A6" s="54" t="str">
        <x:v>QAR-0003</x:v>
      </x:c>
      <x:c r="B6" s="54" t="str">
        <x:v>EA</x:v>
      </x:c>
      <x:c r="C6" s="64"/>
      <x:c r="D6" s="54" t="str">
        <x:v>SYSTEM-WIDE</x:v>
      </x:c>
      <x:c r="E6" s="54" t="str">
        <x:v>RECONSTRUCTED</x:v>
      </x:c>
      <x:c r="F6" s="54" t="str">
        <x:v>MEDIUM</x:v>
      </x:c>
      <x:c r="G6" s="54" t="str">
        <x:v>RECON</x:v>
      </x:c>
      <x:c r="H6" s="54" t="str"/>
      <x:c r="I6" s="54" t="str">
        <x:v>READINESS-MANIFEST</x:v>
      </x:c>
      <x:c r="J6" s="65" t="str"/>
    </x:row>
    <x:row r="7">
      <x:c r="A7" s="54" t="str">
        <x:v>QAR-0004</x:v>
      </x:c>
      <x:c r="B7" s="54" t="str">
        <x:v>EA</x:v>
      </x:c>
      <x:c r="C7" s="64"/>
      <x:c r="D7" s="54" t="str">
        <x:v>SYSTEM-WIDE</x:v>
      </x:c>
      <x:c r="E7" s="54" t="str">
        <x:v>RECONSTRUCTED</x:v>
      </x:c>
      <x:c r="F7" s="54" t="str">
        <x:v>MEDIUM</x:v>
      </x:c>
      <x:c r="G7" s="54" t="str">
        <x:v>RECON</x:v>
      </x:c>
      <x:c r="H7" s="54" t="str"/>
      <x:c r="I7" s="54" t="str">
        <x:v>READINESS-MANIFEST</x:v>
      </x:c>
      <x:c r="J7" s="65" t="str"/>
    </x:row>
    <x:row r="8">
      <x:c r="A8" s="54" t="str">
        <x:v>QAR-0005</x:v>
      </x:c>
      <x:c r="B8" s="54" t="str">
        <x:v>EA</x:v>
      </x:c>
      <x:c r="C8" s="64"/>
      <x:c r="D8" s="54" t="str">
        <x:v>SYSTEM-WIDE</x:v>
      </x:c>
      <x:c r="E8" s="54" t="str">
        <x:v>RECONSTRUCTED</x:v>
      </x:c>
      <x:c r="F8" s="54" t="str">
        <x:v>MEDIUM</x:v>
      </x:c>
      <x:c r="G8" s="54" t="str">
        <x:v>RECON</x:v>
      </x:c>
      <x:c r="H8" s="54" t="str"/>
      <x:c r="I8" s="54" t="str">
        <x:v>READINESS-MANIFEST</x:v>
      </x:c>
      <x:c r="J8" s="65" t="str"/>
    </x:row>
    <x:row r="9">
      <x:c r="A9" s="54" t="str">
        <x:v>QAR-0006</x:v>
      </x:c>
      <x:c r="B9" s="54" t="str">
        <x:v>EA</x:v>
      </x:c>
      <x:c r="C9" s="64"/>
      <x:c r="D9" s="54" t="str">
        <x:v>SYSTEM-WIDE</x:v>
      </x:c>
      <x:c r="E9" s="54" t="str">
        <x:v>RECONSTRUCTED</x:v>
      </x:c>
      <x:c r="F9" s="54" t="str">
        <x:v>MEDIUM</x:v>
      </x:c>
      <x:c r="G9" s="54" t="str">
        <x:v>RECON</x:v>
      </x:c>
      <x:c r="H9" s="54" t="str"/>
      <x:c r="I9" s="54" t="str">
        <x:v>READINESS-MANIFEST</x:v>
      </x:c>
      <x:c r="J9" s="65" t="str"/>
    </x:row>
    <x:row r="10">
      <x:c r="A10" s="54" t="str">
        <x:v>QAR-0007</x:v>
      </x:c>
      <x:c r="B10" s="54" t="str">
        <x:v>EA</x:v>
      </x:c>
      <x:c r="C10" s="64"/>
      <x:c r="D10" s="54" t="str">
        <x:v>SYSTEM-WIDE</x:v>
      </x:c>
      <x:c r="E10" s="54" t="str">
        <x:v>RECONSTRUCTED</x:v>
      </x:c>
      <x:c r="F10" s="54" t="str">
        <x:v>MEDIUM</x:v>
      </x:c>
      <x:c r="G10" s="54" t="str">
        <x:v>RECON</x:v>
      </x:c>
      <x:c r="H10" s="54" t="str"/>
      <x:c r="I10" s="54" t="str">
        <x:v>READINESS-MANIFEST</x:v>
      </x:c>
      <x:c r="J10" s="65" t="str"/>
    </x:row>
    <x:row r="11">
      <x:c r="A11" s="54" t="str">
        <x:v>QAR-0008</x:v>
      </x:c>
      <x:c r="B11" s="54" t="str">
        <x:v>EA</x:v>
      </x:c>
      <x:c r="C11" s="64"/>
      <x:c r="D11" s="54" t="str">
        <x:v>SYSTEM-WIDE</x:v>
      </x:c>
      <x:c r="E11" s="54" t="str">
        <x:v>RECONSTRUCTED</x:v>
      </x:c>
      <x:c r="F11" s="54" t="str">
        <x:v>MEDIUM</x:v>
      </x:c>
      <x:c r="G11" s="54" t="str">
        <x:v>RECON</x:v>
      </x:c>
      <x:c r="H11" s="54" t="str"/>
      <x:c r="I11" s="54" t="str">
        <x:v>READINESS-MANIFEST</x:v>
      </x:c>
      <x:c r="J11" s="65" t="str"/>
    </x:row>
    <x:row r="12">
      <x:c r="A12" s="54" t="str">
        <x:v>QAR-0009</x:v>
      </x:c>
      <x:c r="B12" s="54" t="str">
        <x:v>EA</x:v>
      </x:c>
      <x:c r="C12" s="64"/>
      <x:c r="D12" s="54" t="str">
        <x:v>SYSTEM-WIDE</x:v>
      </x:c>
      <x:c r="E12" s="54" t="str">
        <x:v>RECONSTRUCTED</x:v>
      </x:c>
      <x:c r="F12" s="54" t="str">
        <x:v>MEDIUM</x:v>
      </x:c>
      <x:c r="G12" s="54" t="str">
        <x:v>RECON</x:v>
      </x:c>
      <x:c r="H12" s="54" t="str"/>
      <x:c r="I12" s="54" t="str">
        <x:v>READINESS-MANIFEST</x:v>
      </x:c>
      <x:c r="J12" s="65" t="str"/>
    </x:row>
    <x:row r="13">
      <x:c r="A13" s="54" t="str">
        <x:v>QAR-0010</x:v>
      </x:c>
      <x:c r="B13" s="54" t="str">
        <x:v>EA</x:v>
      </x:c>
      <x:c r="C13" s="64"/>
      <x:c r="D13" s="54" t="str">
        <x:v>SYSTEM-WIDE</x:v>
      </x:c>
      <x:c r="E13" s="54" t="str">
        <x:v>RECONSTRUCTED</x:v>
      </x:c>
      <x:c r="F13" s="54" t="str">
        <x:v>MEDIUM</x:v>
      </x:c>
      <x:c r="G13" s="54" t="str">
        <x:v>RECON</x:v>
      </x:c>
      <x:c r="H13" s="54" t="str"/>
      <x:c r="I13" s="54" t="str">
        <x:v>READINESS-MANIFEST</x:v>
      </x:c>
      <x:c r="J13" s="65" t="str"/>
    </x:row>
    <x:row r="14">
      <x:c r="A14" s="54" t="str">
        <x:v>QAR-0011</x:v>
      </x:c>
      <x:c r="B14" s="54" t="str">
        <x:v>EA</x:v>
      </x:c>
      <x:c r="C14" s="64"/>
      <x:c r="D14" s="54" t="str">
        <x:v>SYSTEM-WIDE</x:v>
      </x:c>
      <x:c r="E14" s="54" t="str">
        <x:v>RECONSTRUCTED</x:v>
      </x:c>
      <x:c r="F14" s="54" t="str">
        <x:v>MEDIUM</x:v>
      </x:c>
      <x:c r="G14" s="54" t="str">
        <x:v>RECON</x:v>
      </x:c>
      <x:c r="H14" s="54" t="str"/>
      <x:c r="I14" s="54" t="str">
        <x:v>READINESS-MANIFEST</x:v>
      </x:c>
      <x:c r="J14" s="65" t="str"/>
    </x:row>
    <x:row r="15">
      <x:c r="A15" s="54" t="str">
        <x:v>QAR-0012</x:v>
      </x:c>
      <x:c r="B15" s="54" t="str">
        <x:v>EA</x:v>
      </x:c>
      <x:c r="C15" s="64"/>
      <x:c r="D15" s="54" t="str">
        <x:v>SYSTEM-WIDE</x:v>
      </x:c>
      <x:c r="E15" s="54" t="str">
        <x:v>RECONSTRUCTED</x:v>
      </x:c>
      <x:c r="F15" s="54" t="str">
        <x:v>MEDIUM</x:v>
      </x:c>
      <x:c r="G15" s="54" t="str">
        <x:v>RECON</x:v>
      </x:c>
      <x:c r="H15" s="54" t="str"/>
      <x:c r="I15" s="54" t="str">
        <x:v>READINESS-MANIFEST</x:v>
      </x:c>
      <x:c r="J15" s="65" t="str"/>
    </x:row>
    <x:row r="16">
      <x:c r="A16" s="54" t="str">
        <x:v>QAR-0013</x:v>
      </x:c>
      <x:c r="B16" s="54" t="str">
        <x:v>EA</x:v>
      </x:c>
      <x:c r="C16" s="64"/>
      <x:c r="D16" s="54" t="str">
        <x:v>SYSTEM-WIDE</x:v>
      </x:c>
      <x:c r="E16" s="54" t="str">
        <x:v>RECONSTRUCTED</x:v>
      </x:c>
      <x:c r="F16" s="54" t="str">
        <x:v>MEDIUM</x:v>
      </x:c>
      <x:c r="G16" s="54" t="str">
        <x:v>RECON</x:v>
      </x:c>
      <x:c r="H16" s="54" t="str"/>
      <x:c r="I16" s="54" t="str">
        <x:v>READINESS-MANIFEST</x:v>
      </x:c>
      <x:c r="J16" s="65" t="str"/>
    </x:row>
    <x:row r="17">
      <x:c r="A17" s="54" t="str">
        <x:v>QAR-0014</x:v>
      </x:c>
      <x:c r="B17" s="54" t="str">
        <x:v>EA</x:v>
      </x:c>
      <x:c r="C17" s="64"/>
      <x:c r="D17" s="54" t="str">
        <x:v>SYSTEM-WIDE</x:v>
      </x:c>
      <x:c r="E17" s="54" t="str">
        <x:v>RECONSTRUCTED</x:v>
      </x:c>
      <x:c r="F17" s="54" t="str">
        <x:v>MEDIUM</x:v>
      </x:c>
      <x:c r="G17" s="54" t="str">
        <x:v>RECON</x:v>
      </x:c>
      <x:c r="H17" s="54" t="str"/>
      <x:c r="I17" s="54" t="str">
        <x:v>READINESS-MANIFEST</x:v>
      </x:c>
      <x:c r="J17" s="65" t="str"/>
    </x:row>
    <x:row r="18">
      <x:c r="A18" s="54" t="str">
        <x:v>QAR-0015</x:v>
      </x:c>
      <x:c r="B18" s="54" t="str">
        <x:v>EA</x:v>
      </x:c>
      <x:c r="C18" s="64"/>
      <x:c r="D18" s="54" t="str">
        <x:v>SYSTEM-WIDE</x:v>
      </x:c>
      <x:c r="E18" s="54" t="str">
        <x:v>RECONSTRUCTED</x:v>
      </x:c>
      <x:c r="F18" s="54" t="str">
        <x:v>MEDIUM</x:v>
      </x:c>
      <x:c r="G18" s="54" t="str">
        <x:v>RECON</x:v>
      </x:c>
      <x:c r="H18" s="54" t="str"/>
      <x:c r="I18" s="54" t="str">
        <x:v>READINESS-MANIFEST</x:v>
      </x:c>
      <x:c r="J18" s="65" t="str"/>
    </x:row>
    <x:row r="19">
      <x:c r="A19" s="54" t="str">
        <x:v>QAR-0016</x:v>
      </x:c>
      <x:c r="B19" s="54" t="str">
        <x:v>EA</x:v>
      </x:c>
      <x:c r="C19" s="64"/>
      <x:c r="D19" s="54" t="str">
        <x:v>SYSTEM-WIDE</x:v>
      </x:c>
      <x:c r="E19" s="54" t="str">
        <x:v>RECONSTRUCTED</x:v>
      </x:c>
      <x:c r="F19" s="54" t="str">
        <x:v>MEDIUM</x:v>
      </x:c>
      <x:c r="G19" s="54" t="str">
        <x:v>RECON</x:v>
      </x:c>
      <x:c r="H19" s="54" t="str"/>
      <x:c r="I19" s="54" t="str">
        <x:v>READINESS-MANIFEST</x:v>
      </x:c>
      <x:c r="J19" s="65" t="str"/>
    </x:row>
    <x:row r="20">
      <x:c r="A20" s="54" t="str">
        <x:v>QAR-0017</x:v>
      </x:c>
      <x:c r="B20" s="54" t="str">
        <x:v>EA</x:v>
      </x:c>
      <x:c r="C20" s="64"/>
      <x:c r="D20" s="54" t="str"/>
      <x:c r="E20" s="54" t="str">
        <x:v>RECONSTRUCTED</x:v>
      </x:c>
      <x:c r="F20" s="54" t="str">
        <x:v>MEDIUM</x:v>
      </x:c>
      <x:c r="G20" s="54" t="str">
        <x:v>QAR-SHIP</x:v>
      </x:c>
      <x:c r="H20" s="54" t="str"/>
      <x:c r="I20" s="54" t="str">
        <x:v>KIT-LABEL</x:v>
      </x:c>
      <x:c r="J20" s="65" t="str"/>
    </x:row>
    <x:row r="21">
      <x:c r="A21" s="54" t="str">
        <x:v>OFT-0001</x:v>
      </x:c>
      <x:c r="B21" s="54" t="str">
        <x:v>EA</x:v>
      </x:c>
      <x:c r="C21" s="64"/>
      <x:c r="D21" s="54" t="str"/>
      <x:c r="E21" s="54" t="str">
        <x:v>RECONSTRUCTED</x:v>
      </x:c>
      <x:c r="F21" s="54" t="str">
        <x:v>MEDIUM</x:v>
      </x:c>
      <x:c r="G21" s="54" t="str">
        <x:v>QAR-SHIP</x:v>
      </x:c>
      <x:c r="H21" s="54" t="str"/>
      <x:c r="I21" s="54" t="str">
        <x:v>KIT-LABEL</x:v>
      </x:c>
      <x:c r="J21" s="65" t="str"/>
    </x:row>
    <x:row r="22">
      <x:c r="A22" s="54" t="str">
        <x:v>QAR-0018</x:v>
      </x:c>
      <x:c r="B22" s="54" t="str">
        <x:v>EA</x:v>
      </x:c>
      <x:c r="C22" s="64"/>
      <x:c r="D22" s="54" t="str"/>
      <x:c r="E22" s="54" t="str">
        <x:v>RECONSTRUCTED</x:v>
      </x:c>
      <x:c r="F22" s="54" t="str">
        <x:v>MEDIUM</x:v>
      </x:c>
      <x:c r="G22" s="54" t="str">
        <x:v>QAR-SHIP</x:v>
      </x:c>
      <x:c r="H22" s="54" t="str"/>
      <x:c r="I22" s="54" t="str">
        <x:v>KIT-LABEL</x:v>
      </x:c>
      <x:c r="J22" s="65" t="str"/>
    </x:row>
    <x:row r="23">
      <x:c r="A23" s="54" t="str">
        <x:v>OFT-0002</x:v>
      </x:c>
      <x:c r="B23" s="54" t="str">
        <x:v>EA</x:v>
      </x:c>
      <x:c r="C23" s="64"/>
      <x:c r="D23" s="54" t="str"/>
      <x:c r="E23" s="54" t="str">
        <x:v>RECONSTRUCTED</x:v>
      </x:c>
      <x:c r="F23" s="54" t="str">
        <x:v>MEDIUM</x:v>
      </x:c>
      <x:c r="G23" s="54" t="str">
        <x:v>QAR-SHIP</x:v>
      </x:c>
      <x:c r="H23" s="54" t="str"/>
      <x:c r="I23" s="54" t="str">
        <x:v>KIT-LABEL</x:v>
      </x:c>
      <x:c r="J23" s="65" t="str"/>
    </x:row>
    <x:row r="24">
      <x:c r="A24" s="54" t="str">
        <x:v>OFT-0003</x:v>
      </x:c>
      <x:c r="B24" s="54" t="str">
        <x:v>EA</x:v>
      </x:c>
      <x:c r="C24" s="64"/>
      <x:c r="D24" s="54" t="str"/>
      <x:c r="E24" s="54" t="str">
        <x:v>RECONSTRUCTED</x:v>
      </x:c>
      <x:c r="F24" s="54" t="str">
        <x:v>MEDIUM</x:v>
      </x:c>
      <x:c r="G24" s="54" t="str">
        <x:v>QAR-SHIP</x:v>
      </x:c>
      <x:c r="H24" s="54" t="str"/>
      <x:c r="I24" s="54" t="str">
        <x:v>KIT-LABEL</x:v>
      </x:c>
      <x:c r="J24" s="65" t="str"/>
    </x:row>
    <x:row r="25">
      <x:c r="A25" s="54" t="str">
        <x:v>QAR-0019</x:v>
      </x:c>
      <x:c r="B25" s="54" t="str">
        <x:v>EA</x:v>
      </x:c>
      <x:c r="C25" s="64"/>
      <x:c r="D25" s="54" t="str"/>
      <x:c r="E25" s="54" t="str">
        <x:v>RECONSTRUCTED</x:v>
      </x:c>
      <x:c r="F25" s="54" t="str">
        <x:v>MEDIUM</x:v>
      </x:c>
      <x:c r="G25" s="54" t="str">
        <x:v>RECON</x:v>
      </x:c>
      <x:c r="H25" s="54" t="str"/>
      <x:c r="I25" s="54" t="str">
        <x:v>KIT-LABEL</x:v>
      </x:c>
      <x:c r="J25" s="65" t="str"/>
    </x:row>
    <x:row r="26">
      <x:c r="A26" s="54" t="str">
        <x:v>QAR-0020</x:v>
      </x:c>
      <x:c r="B26" s="54" t="str">
        <x:v>EA</x:v>
      </x:c>
      <x:c r="C26" s="64"/>
      <x:c r="D26" s="54" t="str"/>
      <x:c r="E26" s="54" t="str">
        <x:v>RECOVERED</x:v>
      </x:c>
      <x:c r="F26" s="54" t="str">
        <x:v>MEDIUM</x:v>
      </x:c>
      <x:c r="G26" s="54" t="str">
        <x:v>QAR-SHIP</x:v>
      </x:c>
      <x:c r="H26" s="54" t="str"/>
      <x:c r="I26" s="54" t="str">
        <x:v>KIT-LABEL</x:v>
      </x:c>
      <x:c r="J26" s="65" t="str"/>
    </x:row>
    <x:row r="27">
      <x:c r="A27" s="54" t="str">
        <x:v>QAR-0021</x:v>
      </x:c>
      <x:c r="B27" s="54" t="str">
        <x:v>EA</x:v>
      </x:c>
      <x:c r="C27" s="64"/>
      <x:c r="D27" s="54" t="str"/>
      <x:c r="E27" s="54" t="str">
        <x:v>RECOVERED</x:v>
      </x:c>
      <x:c r="F27" s="54" t="str">
        <x:v>MEDIUM</x:v>
      </x:c>
      <x:c r="G27" s="54" t="str">
        <x:v>QAR-SHIP</x:v>
      </x:c>
      <x:c r="H27" s="54" t="str"/>
      <x:c r="I27" s="54" t="str">
        <x:v>KIT-LABEL</x:v>
      </x:c>
      <x:c r="J27" s="65" t="str"/>
    </x:row>
    <x:row r="28">
      <x:c r="A28" s="54" t="str">
        <x:v>QAR-0022</x:v>
      </x:c>
      <x:c r="B28" s="54" t="str">
        <x:v>EA</x:v>
      </x:c>
      <x:c r="C28" s="64"/>
      <x:c r="D28" s="54" t="str"/>
      <x:c r="E28" s="54" t="str">
        <x:v>RECOVERED</x:v>
      </x:c>
      <x:c r="F28" s="54" t="str">
        <x:v>MEDIUM</x:v>
      </x:c>
      <x:c r="G28" s="54" t="str">
        <x:v>QAR-SHIP</x:v>
      </x:c>
      <x:c r="H28" s="54" t="str"/>
      <x:c r="I28" s="54" t="str">
        <x:v>KIT-LABEL</x:v>
      </x:c>
      <x:c r="J28" s="65" t="str"/>
    </x:row>
    <x:row r="29">
      <x:c r="A29" s="54" t="str">
        <x:v>KIT-0001</x:v>
      </x:c>
      <x:c r="B29" s="54" t="str">
        <x:v>EA</x:v>
      </x:c>
      <x:c r="C29" s="64"/>
      <x:c r="D29" s="54" t="str"/>
      <x:c r="E29" s="54" t="str">
        <x:v>RECONSTRUCTED</x:v>
      </x:c>
      <x:c r="F29" s="54" t="str">
        <x:v>MEDIUM</x:v>
      </x:c>
      <x:c r="G29" s="54" t="str">
        <x:v>QAR-SHIP</x:v>
      </x:c>
      <x:c r="H29" s="54" t="str"/>
      <x:c r="I29" s="54" t="str">
        <x:v>KIT-LABEL</x:v>
      </x:c>
      <x:c r="J29" s="65" t="str"/>
    </x:row>
    <x:row r="30">
      <x:c r="A30" s="54" t="str">
        <x:v>PRT-0001</x:v>
      </x:c>
      <x:c r="B30" s="54" t="str">
        <x:v>EA</x:v>
      </x:c>
      <x:c r="C30" s="64" t="n">
        <x:v>0.7</x:v>
      </x:c>
      <x:c r="D30" s="54" t="str"/>
      <x:c r="E30" s="54" t="str">
        <x:v>RECOVERED</x:v>
      </x:c>
      <x:c r="F30" s="54" t="str">
        <x:v>MEDIUM</x:v>
      </x:c>
      <x:c r="G30" s="54" t="str">
        <x:v>QAR-SHIP</x:v>
      </x:c>
      <x:c r="H30" s="54" t="str"/>
      <x:c r="I30" s="54" t="str">
        <x:v>PART-ID</x:v>
      </x:c>
      <x:c r="J30" s="65" t="str"/>
    </x:row>
    <x:row r="31">
      <x:c r="A31" s="54" t="str">
        <x:v>PRT-0002</x:v>
      </x:c>
      <x:c r="B31" s="54" t="str">
        <x:v>EA</x:v>
      </x:c>
      <x:c r="C31" s="64" t="n">
        <x:v>1.2</x:v>
      </x:c>
      <x:c r="D31" s="54" t="str"/>
      <x:c r="E31" s="54" t="str">
        <x:v>RECOVERED</x:v>
      </x:c>
      <x:c r="F31" s="54" t="str">
        <x:v>MEDIUM</x:v>
      </x:c>
      <x:c r="G31" s="54" t="str">
        <x:v>QAR-SHIP</x:v>
      </x:c>
      <x:c r="H31" s="54" t="str"/>
      <x:c r="I31" s="54" t="str">
        <x:v>PART-ID</x:v>
      </x:c>
      <x:c r="J31" s="65" t="str"/>
    </x:row>
    <x:row r="32">
      <x:c r="A32" s="54" t="str">
        <x:v>PRT-0003</x:v>
      </x:c>
      <x:c r="B32" s="54" t="str">
        <x:v>EA</x:v>
      </x:c>
      <x:c r="C32" s="64" t="n">
        <x:v>0.8</x:v>
      </x:c>
      <x:c r="D32" s="54" t="str"/>
      <x:c r="E32" s="54" t="str">
        <x:v>RECOVERED</x:v>
      </x:c>
      <x:c r="F32" s="54" t="str">
        <x:v>MEDIUM</x:v>
      </x:c>
      <x:c r="G32" s="54" t="str">
        <x:v>QAR-SHIP</x:v>
      </x:c>
      <x:c r="H32" s="54" t="str"/>
      <x:c r="I32" s="54" t="str">
        <x:v>PART-ID</x:v>
      </x:c>
      <x:c r="J32" s="65" t="str"/>
    </x:row>
    <x:row r="33">
      <x:c r="A33" s="54" t="str">
        <x:v>PRT-0004</x:v>
      </x:c>
      <x:c r="B33" s="54" t="str">
        <x:v>EA</x:v>
      </x:c>
      <x:c r="C33" s="64" t="n">
        <x:v>2</x:v>
      </x:c>
      <x:c r="D33" s="54" t="str"/>
      <x:c r="E33" s="54" t="str">
        <x:v>RECOVERED</x:v>
      </x:c>
      <x:c r="F33" s="54" t="str">
        <x:v>MEDIUM</x:v>
      </x:c>
      <x:c r="G33" s="54" t="str">
        <x:v>QAR-SHIP</x:v>
      </x:c>
      <x:c r="H33" s="54" t="str"/>
      <x:c r="I33" s="54" t="str">
        <x:v>PART-ID</x:v>
      </x:c>
      <x:c r="J33" s="65" t="str"/>
    </x:row>
    <x:row r="34">
      <x:c r="A34" s="54" t="str">
        <x:v>ASM-0001</x:v>
      </x:c>
      <x:c r="B34" s="54" t="str">
        <x:v>EA</x:v>
      </x:c>
      <x:c r="C34" s="64"/>
      <x:c r="D34" s="54" t="str"/>
      <x:c r="E34" s="54" t="str">
        <x:v>RECONSTRUCTED</x:v>
      </x:c>
      <x:c r="F34" s="54" t="str">
        <x:v>MEDIUM</x:v>
      </x:c>
      <x:c r="G34" s="54" t="str">
        <x:v>RECON</x:v>
      </x:c>
      <x:c r="H34" s="54" t="str"/>
      <x:c r="I34" s="54" t="str">
        <x:v>KIT-LABEL</x:v>
      </x:c>
      <x:c r="J34" s="65" t="str"/>
    </x:row>
    <x:row r="35">
      <x:c r="A35" s="54" t="str">
        <x:v>ASM-0002</x:v>
      </x:c>
      <x:c r="B35" s="54" t="str">
        <x:v>EA</x:v>
      </x:c>
      <x:c r="C35" s="64"/>
      <x:c r="D35" s="54" t="str"/>
      <x:c r="E35" s="54" t="str">
        <x:v>RECONSTRUCTED</x:v>
      </x:c>
      <x:c r="F35" s="54" t="str">
        <x:v>MEDIUM</x:v>
      </x:c>
      <x:c r="G35" s="54" t="str">
        <x:v>RECON</x:v>
      </x:c>
      <x:c r="H35" s="54" t="str"/>
      <x:c r="I35" s="54" t="str">
        <x:v>KIT-LABEL</x:v>
      </x:c>
      <x:c r="J35" s="65" t="str"/>
    </x:row>
    <x:row r="36">
      <x:c r="A36" s="54" t="str">
        <x:v>ASM-0003</x:v>
      </x:c>
      <x:c r="B36" s="54" t="str">
        <x:v>EA</x:v>
      </x:c>
      <x:c r="C36" s="64"/>
      <x:c r="D36" s="54" t="str"/>
      <x:c r="E36" s="54" t="str">
        <x:v>RECONSTRUCTED</x:v>
      </x:c>
      <x:c r="F36" s="54" t="str">
        <x:v>MEDIUM</x:v>
      </x:c>
      <x:c r="G36" s="54" t="str">
        <x:v>RECON</x:v>
      </x:c>
      <x:c r="H36" s="54" t="str"/>
      <x:c r="I36" s="54" t="str">
        <x:v>KIT-LABEL</x:v>
      </x:c>
      <x:c r="J36" s="65" t="str"/>
    </x:row>
    <x:row r="37">
      <x:c r="A37" s="54" t="str">
        <x:v>ASM-0004</x:v>
      </x:c>
      <x:c r="B37" s="54" t="str">
        <x:v>EA</x:v>
      </x:c>
      <x:c r="C37" s="64"/>
      <x:c r="D37" s="54" t="str"/>
      <x:c r="E37" s="54" t="str">
        <x:v>RECONSTRUCTED</x:v>
      </x:c>
      <x:c r="F37" s="54" t="str">
        <x:v>MEDIUM</x:v>
      </x:c>
      <x:c r="G37" s="54" t="str">
        <x:v>RECON</x:v>
      </x:c>
      <x:c r="H37" s="54" t="str"/>
      <x:c r="I37" s="54" t="str">
        <x:v>KIT-LABEL</x:v>
      </x:c>
      <x:c r="J37" s="65" t="str"/>
    </x:row>
    <x:row r="38">
      <x:c r="A38" s="54" t="str">
        <x:v>KIT-0002</x:v>
      </x:c>
      <x:c r="B38" s="54" t="str">
        <x:v>EA</x:v>
      </x:c>
      <x:c r="C38" s="64"/>
      <x:c r="D38" s="54" t="str"/>
      <x:c r="E38" s="54" t="str">
        <x:v>RECONSTRUCTED</x:v>
      </x:c>
      <x:c r="F38" s="54" t="str">
        <x:v>MEDIUM</x:v>
      </x:c>
      <x:c r="G38" s="54" t="str">
        <x:v>QAR-SHIP</x:v>
      </x:c>
      <x:c r="H38" s="54" t="str"/>
      <x:c r="I38" s="54" t="str">
        <x:v>KIT-LABEL</x:v>
      </x:c>
      <x:c r="J38" s="65" t="str"/>
    </x:row>
    <x:row r="39">
      <x:c r="A39" s="54" t="str">
        <x:v>PRT-0005</x:v>
      </x:c>
      <x:c r="B39" s="54" t="str">
        <x:v>EA</x:v>
      </x:c>
      <x:c r="C39" s="64" t="n">
        <x:v>35</x:v>
      </x:c>
      <x:c r="D39" s="54" t="str"/>
      <x:c r="E39" s="54" t="str">
        <x:v>RECOVERED</x:v>
      </x:c>
      <x:c r="F39" s="54" t="str">
        <x:v>MEDIUM</x:v>
      </x:c>
      <x:c r="G39" s="54" t="str">
        <x:v>QAR-SHIP</x:v>
      </x:c>
      <x:c r="H39" s="54" t="str"/>
      <x:c r="I39" s="54" t="str">
        <x:v>PART-ID</x:v>
      </x:c>
      <x:c r="J39" s="65" t="str"/>
    </x:row>
    <x:row r="40">
      <x:c r="A40" s="54" t="str">
        <x:v>ASM-0005</x:v>
      </x:c>
      <x:c r="B40" s="54" t="str">
        <x:v>EA</x:v>
      </x:c>
      <x:c r="C40" s="64"/>
      <x:c r="D40" s="54" t="str"/>
      <x:c r="E40" s="54" t="str">
        <x:v>RECOVERED</x:v>
      </x:c>
      <x:c r="F40" s="54" t="str">
        <x:v>MEDIUM</x:v>
      </x:c>
      <x:c r="G40" s="54" t="str">
        <x:v>QAR-SHIP</x:v>
      </x:c>
      <x:c r="H40" s="54" t="str"/>
      <x:c r="I40" s="54" t="str">
        <x:v>KIT-LABEL</x:v>
      </x:c>
      <x:c r="J40" s="65" t="str"/>
    </x:row>
    <x:row r="41">
      <x:c r="A41" s="54" t="str">
        <x:v>PRT-0006</x:v>
      </x:c>
      <x:c r="B41" s="54" t="str">
        <x:v>EA</x:v>
      </x:c>
      <x:c r="C41" s="64" t="n">
        <x:v>1.1</x:v>
      </x:c>
      <x:c r="D41" s="54" t="str"/>
      <x:c r="E41" s="54" t="str">
        <x:v>RECOVERED</x:v>
      </x:c>
      <x:c r="F41" s="54" t="str">
        <x:v>MEDIUM</x:v>
      </x:c>
      <x:c r="G41" s="54" t="str">
        <x:v>QAR-SHIP</x:v>
      </x:c>
      <x:c r="H41" s="54" t="str"/>
      <x:c r="I41" s="54" t="str">
        <x:v>PART-ID</x:v>
      </x:c>
      <x:c r="J41" s="65" t="str"/>
    </x:row>
    <x:row r="42">
      <x:c r="A42" s="54" t="str">
        <x:v>PRT-0007</x:v>
      </x:c>
      <x:c r="B42" s="54" t="str">
        <x:v>EA</x:v>
      </x:c>
      <x:c r="C42" s="64" t="n">
        <x:v>1.4</x:v>
      </x:c>
      <x:c r="D42" s="54" t="str"/>
      <x:c r="E42" s="54" t="str">
        <x:v>RECONSTRUCTED</x:v>
      </x:c>
      <x:c r="F42" s="54" t="str">
        <x:v>MEDIUM</x:v>
      </x:c>
      <x:c r="G42" s="54" t="str">
        <x:v>QAR-SHIP</x:v>
      </x:c>
      <x:c r="H42" s="54" t="str"/>
      <x:c r="I42" s="54" t="str">
        <x:v>PART-ID</x:v>
      </x:c>
      <x:c r="J42" s="65" t="str"/>
    </x:row>
    <x:row r="43">
      <x:c r="A43" s="54" t="str">
        <x:v>PRT-0008</x:v>
      </x:c>
      <x:c r="B43" s="54" t="str">
        <x:v>EA</x:v>
      </x:c>
      <x:c r="C43" s="64" t="n">
        <x:v>18</x:v>
      </x:c>
      <x:c r="D43" s="54" t="str"/>
      <x:c r="E43" s="54" t="str">
        <x:v>RECONSTRUCTED</x:v>
      </x:c>
      <x:c r="F43" s="54" t="str">
        <x:v>MEDIUM</x:v>
      </x:c>
      <x:c r="G43" s="54" t="str">
        <x:v>RECON</x:v>
      </x:c>
      <x:c r="H43" s="54" t="str"/>
      <x:c r="I43" s="54" t="str">
        <x:v>PART-ID</x:v>
      </x:c>
      <x:c r="J43" s="65" t="str"/>
    </x:row>
    <x:row r="44">
      <x:c r="A44" s="54" t="str">
        <x:v>PRT-0009</x:v>
      </x:c>
      <x:c r="B44" s="54" t="str">
        <x:v>EA</x:v>
      </x:c>
      <x:c r="C44" s="64" t="n">
        <x:v>16</x:v>
      </x:c>
      <x:c r="D44" s="54" t="str"/>
      <x:c r="E44" s="54" t="str">
        <x:v>RECONSTRUCTED</x:v>
      </x:c>
      <x:c r="F44" s="54" t="str">
        <x:v>MEDIUM</x:v>
      </x:c>
      <x:c r="G44" s="54" t="str">
        <x:v>RECON</x:v>
      </x:c>
      <x:c r="H44" s="54" t="str"/>
      <x:c r="I44" s="54" t="str">
        <x:v>PART-ID</x:v>
      </x:c>
      <x:c r="J44" s="65" t="str"/>
    </x:row>
    <x:row r="45">
      <x:c r="A45" s="54" t="str">
        <x:v>QAR-0023</x:v>
      </x:c>
      <x:c r="B45" s="54" t="str">
        <x:v>EA</x:v>
      </x:c>
      <x:c r="C45" s="64"/>
      <x:c r="D45" s="54" t="str"/>
      <x:c r="E45" s="54" t="str">
        <x:v>RECONSTRUCTED</x:v>
      </x:c>
      <x:c r="F45" s="54" t="str">
        <x:v>MEDIUM</x:v>
      </x:c>
      <x:c r="G45" s="54" t="str">
        <x:v>RECON</x:v>
      </x:c>
      <x:c r="H45" s="54" t="str"/>
      <x:c r="I45" s="54" t="str">
        <x:v>KIT-LABEL</x:v>
      </x:c>
      <x:c r="J45" s="65" t="str"/>
    </x:row>
    <x:row r="46">
      <x:c r="A46" s="54" t="str">
        <x:v>QAR-0024</x:v>
      </x:c>
      <x:c r="B46" s="54" t="str">
        <x:v>EA</x:v>
      </x:c>
      <x:c r="C46" s="64"/>
      <x:c r="D46" s="54" t="str"/>
      <x:c r="E46" s="54" t="str">
        <x:v>RECONSTRUCTED</x:v>
      </x:c>
      <x:c r="F46" s="54" t="str">
        <x:v>MEDIUM</x:v>
      </x:c>
      <x:c r="G46" s="54" t="str">
        <x:v>RECON</x:v>
      </x:c>
      <x:c r="H46" s="54" t="str"/>
      <x:c r="I46" s="54" t="str">
        <x:v>KIT-LABEL</x:v>
      </x:c>
      <x:c r="J46" s="65" t="str"/>
    </x:row>
    <x:row r="47">
      <x:c r="A47" s="54" t="str">
        <x:v>PRT-0010</x:v>
      </x:c>
      <x:c r="B47" s="54" t="str">
        <x:v>EA</x:v>
      </x:c>
      <x:c r="C47" s="64" t="n">
        <x:v>22</x:v>
      </x:c>
      <x:c r="D47" s="54" t="str"/>
      <x:c r="E47" s="54" t="str">
        <x:v>RECOVERED</x:v>
      </x:c>
      <x:c r="F47" s="54" t="str">
        <x:v>MEDIUM</x:v>
      </x:c>
      <x:c r="G47" s="54" t="str">
        <x:v>QAR-SHIP</x:v>
      </x:c>
      <x:c r="H47" s="54" t="str"/>
      <x:c r="I47" s="54" t="str">
        <x:v>PART-ID</x:v>
      </x:c>
      <x:c r="J47" s="65" t="str"/>
    </x:row>
    <x:row r="48">
      <x:c r="A48" s="54" t="str">
        <x:v>PRT-0011</x:v>
      </x:c>
      <x:c r="B48" s="54" t="str">
        <x:v>EA</x:v>
      </x:c>
      <x:c r="C48" s="64" t="n">
        <x:v>20</x:v>
      </x:c>
      <x:c r="D48" s="54" t="str"/>
      <x:c r="E48" s="54" t="str">
        <x:v>RECONSTRUCTED</x:v>
      </x:c>
      <x:c r="F48" s="54" t="str">
        <x:v>MEDIUM</x:v>
      </x:c>
      <x:c r="G48" s="54" t="str">
        <x:v>QAR-SHIP</x:v>
      </x:c>
      <x:c r="H48" s="54" t="str"/>
      <x:c r="I48" s="54" t="str">
        <x:v>PART-ID</x:v>
      </x:c>
      <x:c r="J48" s="65" t="str"/>
    </x:row>
    <x:row r="49">
      <x:c r="A49" s="54" t="str">
        <x:v>PRT-0012</x:v>
      </x:c>
      <x:c r="B49" s="54" t="str">
        <x:v>COIL</x:v>
      </x:c>
      <x:c r="C49" s="64" t="n">
        <x:v>12</x:v>
      </x:c>
      <x:c r="D49" s="54" t="str"/>
      <x:c r="E49" s="54" t="str">
        <x:v>RECONSTRUCTED</x:v>
      </x:c>
      <x:c r="F49" s="54" t="str">
        <x:v>MEDIUM</x:v>
      </x:c>
      <x:c r="G49" s="54" t="str">
        <x:v>RECON</x:v>
      </x:c>
      <x:c r="H49" s="54" t="str"/>
      <x:c r="I49" s="54" t="str">
        <x:v>PART-ID</x:v>
      </x:c>
      <x:c r="J49" s="65" t="str"/>
    </x:row>
    <x:row r="50">
      <x:c r="A50" s="54" t="str">
        <x:v>ASM-0006</x:v>
      </x:c>
      <x:c r="B50" s="54" t="str">
        <x:v>EA</x:v>
      </x:c>
      <x:c r="C50" s="64"/>
      <x:c r="D50" s="54" t="str"/>
      <x:c r="E50" s="54" t="str">
        <x:v>RECONSTRUCTED</x:v>
      </x:c>
      <x:c r="F50" s="54" t="str">
        <x:v>MEDIUM</x:v>
      </x:c>
      <x:c r="G50" s="54" t="str">
        <x:v>RECON</x:v>
      </x:c>
      <x:c r="H50" s="54" t="str"/>
      <x:c r="I50" s="54" t="str">
        <x:v>KIT-LABEL</x:v>
      </x:c>
      <x:c r="J50" s="65" t="str"/>
    </x:row>
    <x:row r="51">
      <x:c r="A51" s="54" t="str">
        <x:v>PRT-0013</x:v>
      </x:c>
      <x:c r="B51" s="54" t="str">
        <x:v>EA</x:v>
      </x:c>
      <x:c r="C51" s="64"/>
      <x:c r="D51" s="54" t="str"/>
      <x:c r="E51" s="54" t="str">
        <x:v>RECOVERED</x:v>
      </x:c>
      <x:c r="F51" s="54" t="str">
        <x:v>MEDIUM</x:v>
      </x:c>
      <x:c r="G51" s="54" t="str">
        <x:v>QAR-SHIP</x:v>
      </x:c>
      <x:c r="H51" s="54" t="str"/>
      <x:c r="I51" s="54" t="str">
        <x:v>PART-ID</x:v>
      </x:c>
      <x:c r="J51" s="65" t="str"/>
    </x:row>
    <x:row r="52">
      <x:c r="A52" s="54" t="str">
        <x:v>PRT-0014</x:v>
      </x:c>
      <x:c r="B52" s="54" t="str">
        <x:v>EA</x:v>
      </x:c>
      <x:c r="C52" s="64" t="n">
        <x:v>14</x:v>
      </x:c>
      <x:c r="D52" s="54" t="str"/>
      <x:c r="E52" s="54" t="str">
        <x:v>RECONSTRUCTED</x:v>
      </x:c>
      <x:c r="F52" s="54" t="str">
        <x:v>MEDIUM</x:v>
      </x:c>
      <x:c r="G52" s="54" t="str">
        <x:v>RECON</x:v>
      </x:c>
      <x:c r="H52" s="54" t="str"/>
      <x:c r="I52" s="54" t="str">
        <x:v>PART-ID</x:v>
      </x:c>
      <x:c r="J52" s="65" t="str"/>
    </x:row>
    <x:row r="53">
      <x:c r="A53" s="54" t="str">
        <x:v>KIT-0003</x:v>
      </x:c>
      <x:c r="B53" s="54" t="str">
        <x:v>EA</x:v>
      </x:c>
      <x:c r="C53" s="64" t="n">
        <x:v>3</x:v>
      </x:c>
      <x:c r="D53" s="54" t="str"/>
      <x:c r="E53" s="54" t="str">
        <x:v>RECONSTRUCTED</x:v>
      </x:c>
      <x:c r="F53" s="54" t="str">
        <x:v>MEDIUM</x:v>
      </x:c>
      <x:c r="G53" s="54" t="str">
        <x:v>RECON</x:v>
      </x:c>
      <x:c r="H53" s="54" t="str"/>
      <x:c r="I53" s="54" t="str">
        <x:v>KIT-LABEL</x:v>
      </x:c>
      <x:c r="J53" s="65" t="str"/>
    </x:row>
    <x:row r="54">
      <x:c r="A54" s="54" t="str">
        <x:v>ASM-0007</x:v>
      </x:c>
      <x:c r="B54" s="54" t="str">
        <x:v>EA</x:v>
      </x:c>
      <x:c r="C54" s="64" t="n">
        <x:v>9</x:v>
      </x:c>
      <x:c r="D54" s="54" t="str"/>
      <x:c r="E54" s="54" t="str">
        <x:v>RECONSTRUCTED</x:v>
      </x:c>
      <x:c r="F54" s="54" t="str">
        <x:v>MEDIUM</x:v>
      </x:c>
      <x:c r="G54" s="54" t="str">
        <x:v>RECON</x:v>
      </x:c>
      <x:c r="H54" s="54" t="str"/>
      <x:c r="I54" s="54" t="str">
        <x:v>KIT-LABEL</x:v>
      </x:c>
      <x:c r="J54" s="65" t="str"/>
    </x:row>
    <x:row r="55">
      <x:c r="A55" s="54" t="str">
        <x:v>MAT-0001</x:v>
      </x:c>
      <x:c r="B55" s="54" t="str">
        <x:v>LOT</x:v>
      </x:c>
      <x:c r="C55" s="64" t="n">
        <x:v>100</x:v>
      </x:c>
      <x:c r="D55" s="54" t="str"/>
      <x:c r="E55" s="54" t="str">
        <x:v>RECOVERED</x:v>
      </x:c>
      <x:c r="F55" s="54" t="str">
        <x:v>MEDIUM</x:v>
      </x:c>
      <x:c r="G55" s="54" t="str">
        <x:v>QAR-SHIP</x:v>
      </x:c>
      <x:c r="H55" s="54" t="str"/>
      <x:c r="I55" s="54" t="str">
        <x:v>STORES-LABEL</x:v>
      </x:c>
      <x:c r="J55" s="65" t="str"/>
    </x:row>
    <x:row r="56">
      <x:c r="A56" s="54" t="str">
        <x:v>PRT-0015</x:v>
      </x:c>
      <x:c r="B56" s="54" t="str">
        <x:v>EA</x:v>
      </x:c>
      <x:c r="C56" s="64" t="n">
        <x:v>50</x:v>
      </x:c>
      <x:c r="D56" s="54" t="str"/>
      <x:c r="E56" s="54" t="str">
        <x:v>RECONSTRUCTED</x:v>
      </x:c>
      <x:c r="F56" s="54" t="str">
        <x:v>MEDIUM</x:v>
      </x:c>
      <x:c r="G56" s="54" t="str">
        <x:v>QAR-SHIP</x:v>
      </x:c>
      <x:c r="H56" s="54" t="str"/>
      <x:c r="I56" s="54" t="str">
        <x:v>PART-ID</x:v>
      </x:c>
      <x:c r="J56" s="65" t="str"/>
    </x:row>
    <x:row r="57">
      <x:c r="A57" s="54" t="str">
        <x:v>PRT-0016</x:v>
      </x:c>
      <x:c r="B57" s="54" t="str">
        <x:v>EA</x:v>
      </x:c>
      <x:c r="C57" s="64" t="n">
        <x:v>12</x:v>
      </x:c>
      <x:c r="D57" s="54" t="str"/>
      <x:c r="E57" s="54" t="str">
        <x:v>RECONSTRUCTED</x:v>
      </x:c>
      <x:c r="F57" s="54" t="str">
        <x:v>MEDIUM</x:v>
      </x:c>
      <x:c r="G57" s="54" t="str">
        <x:v>RECON</x:v>
      </x:c>
      <x:c r="H57" s="54" t="str"/>
      <x:c r="I57" s="54" t="str">
        <x:v>PART-ID</x:v>
      </x:c>
      <x:c r="J57" s="65" t="str"/>
    </x:row>
    <x:row r="58">
      <x:c r="A58" s="54" t="str">
        <x:v>OFT-0004</x:v>
      </x:c>
      <x:c r="B58" s="54" t="str">
        <x:v>EA</x:v>
      </x:c>
      <x:c r="C58" s="64"/>
      <x:c r="D58" s="54" t="str"/>
      <x:c r="E58" s="54" t="str">
        <x:v>RECONSTRUCTED</x:v>
      </x:c>
      <x:c r="F58" s="54" t="str">
        <x:v>MEDIUM</x:v>
      </x:c>
      <x:c r="G58" s="54" t="str">
        <x:v>QAR-ARMS</x:v>
      </x:c>
      <x:c r="H58" s="54" t="str"/>
      <x:c r="I58" s="54" t="str">
        <x:v>KIT-LABEL</x:v>
      </x:c>
      <x:c r="J58" s="65" t="str">
        <x:v>Reconstructed mixed battery; historical accounts refer to as many as 40 cannon aboard QAR.</x:v>
      </x:c>
    </x:row>
    <x:row r="59">
      <x:c r="A59" s="54" t="str">
        <x:v>OFT-0005</x:v>
      </x:c>
      <x:c r="B59" s="54" t="str">
        <x:v>EA</x:v>
      </x:c>
      <x:c r="C59" s="64"/>
      <x:c r="D59" s="54" t="str"/>
      <x:c r="E59" s="54" t="str">
        <x:v>RECONSTRUCTED</x:v>
      </x:c>
      <x:c r="F59" s="54" t="str">
        <x:v>MEDIUM</x:v>
      </x:c>
      <x:c r="G59" s="54" t="str">
        <x:v>QAR-ARMS</x:v>
      </x:c>
      <x:c r="H59" s="54" t="str"/>
      <x:c r="I59" s="54" t="str">
        <x:v>KIT-LABEL</x:v>
      </x:c>
      <x:c r="J59" s="65" t="str"/>
    </x:row>
    <x:row r="60">
      <x:c r="A60" s="54" t="str">
        <x:v>OFT-0006</x:v>
      </x:c>
      <x:c r="B60" s="54" t="str">
        <x:v>EA</x:v>
      </x:c>
      <x:c r="C60" s="64"/>
      <x:c r="D60" s="54" t="str"/>
      <x:c r="E60" s="54" t="str">
        <x:v>RECONSTRUCTED</x:v>
      </x:c>
      <x:c r="F60" s="54" t="str">
        <x:v>MEDIUM</x:v>
      </x:c>
      <x:c r="G60" s="54" t="str">
        <x:v>QAR-ARMS</x:v>
      </x:c>
      <x:c r="H60" s="54" t="str"/>
      <x:c r="I60" s="54" t="str">
        <x:v>KIT-LABEL</x:v>
      </x:c>
      <x:c r="J60" s="65" t="str"/>
    </x:row>
    <x:row r="61">
      <x:c r="A61" s="54" t="str">
        <x:v>OFT-0007</x:v>
      </x:c>
      <x:c r="B61" s="54" t="str">
        <x:v>EA</x:v>
      </x:c>
      <x:c r="C61" s="64"/>
      <x:c r="D61" s="54" t="str"/>
      <x:c r="E61" s="54" t="str">
        <x:v>RECONSTRUCTED</x:v>
      </x:c>
      <x:c r="F61" s="54" t="str">
        <x:v>MEDIUM</x:v>
      </x:c>
      <x:c r="G61" s="54" t="str">
        <x:v>QAR-ARMS</x:v>
      </x:c>
      <x:c r="H61" s="54" t="str">
        <x:v>EXPLOSIVE</x:v>
      </x:c>
      <x:c r="I61" s="54" t="str">
        <x:v>KIT-LABEL</x:v>
      </x:c>
      <x:c r="J61" s="65" t="str"/>
    </x:row>
    <x:row r="62">
      <x:c r="A62" s="54" t="str">
        <x:v>OFT-0008</x:v>
      </x:c>
      <x:c r="B62" s="54" t="str">
        <x:v>EA</x:v>
      </x:c>
      <x:c r="C62" s="64"/>
      <x:c r="D62" s="54" t="str"/>
      <x:c r="E62" s="54" t="str">
        <x:v>RECONSTRUCTED</x:v>
      </x:c>
      <x:c r="F62" s="54" t="str">
        <x:v>MEDIUM</x:v>
      </x:c>
      <x:c r="G62" s="54" t="str">
        <x:v>QAR-ARMS</x:v>
      </x:c>
      <x:c r="H62" s="54" t="str"/>
      <x:c r="I62" s="54" t="str">
        <x:v>KIT-LABEL</x:v>
      </x:c>
      <x:c r="J62" s="65" t="str"/>
    </x:row>
    <x:row r="63">
      <x:c r="A63" s="54" t="str">
        <x:v>KIT-0004</x:v>
      </x:c>
      <x:c r="B63" s="54" t="str">
        <x:v>EA</x:v>
      </x:c>
      <x:c r="C63" s="64"/>
      <x:c r="D63" s="54" t="str"/>
      <x:c r="E63" s="54" t="str">
        <x:v>RECONSTRUCTED</x:v>
      </x:c>
      <x:c r="F63" s="54" t="str">
        <x:v>MEDIUM</x:v>
      </x:c>
      <x:c r="G63" s="54" t="str">
        <x:v>QAR-ARMS</x:v>
      </x:c>
      <x:c r="H63" s="54" t="str"/>
      <x:c r="I63" s="54" t="str">
        <x:v>KIT-LABEL</x:v>
      </x:c>
      <x:c r="J63" s="65" t="str"/>
    </x:row>
    <x:row r="64">
      <x:c r="A64" s="54" t="str">
        <x:v>KIT-0005</x:v>
      </x:c>
      <x:c r="B64" s="54" t="str">
        <x:v>EA</x:v>
      </x:c>
      <x:c r="C64" s="64"/>
      <x:c r="D64" s="54" t="str">
        <x:v>MAIN GUN DECK</x:v>
      </x:c>
      <x:c r="E64" s="54" t="str">
        <x:v>RECONSTRUCTED</x:v>
      </x:c>
      <x:c r="F64" s="54" t="str">
        <x:v>MEDIUM</x:v>
      </x:c>
      <x:c r="G64" s="54" t="str">
        <x:v>QAR-ARMS</x:v>
      </x:c>
      <x:c r="H64" s="54" t="str">
        <x:v>ORDNANCE</x:v>
      </x:c>
      <x:c r="I64" s="54" t="str">
        <x:v>KIT-LABEL</x:v>
      </x:c>
      <x:c r="J64" s="65" t="str"/>
    </x:row>
    <x:row r="65">
      <x:c r="A65" s="54" t="str">
        <x:v>KIT-0006</x:v>
      </x:c>
      <x:c r="B65" s="54" t="str">
        <x:v>EA</x:v>
      </x:c>
      <x:c r="C65" s="64"/>
      <x:c r="D65" s="54" t="str">
        <x:v>UPPER DECK</x:v>
      </x:c>
      <x:c r="E65" s="54" t="str">
        <x:v>RECONSTRUCTED</x:v>
      </x:c>
      <x:c r="F65" s="54" t="str">
        <x:v>MEDIUM</x:v>
      </x:c>
      <x:c r="G65" s="54" t="str">
        <x:v>QAR-ARMS</x:v>
      </x:c>
      <x:c r="H65" s="54" t="str">
        <x:v>ORDNANCE</x:v>
      </x:c>
      <x:c r="I65" s="54" t="str">
        <x:v>KIT-LABEL</x:v>
      </x:c>
      <x:c r="J65" s="65" t="str"/>
    </x:row>
    <x:row r="66">
      <x:c r="A66" s="54" t="str">
        <x:v>KIT-0007</x:v>
      </x:c>
      <x:c r="B66" s="54" t="str">
        <x:v>EA</x:v>
      </x:c>
      <x:c r="C66" s="64"/>
      <x:c r="D66" s="54" t="str">
        <x:v>RAILS AND TOPS</x:v>
      </x:c>
      <x:c r="E66" s="54" t="str">
        <x:v>RECONSTRUCTED</x:v>
      </x:c>
      <x:c r="F66" s="54" t="str">
        <x:v>MEDIUM</x:v>
      </x:c>
      <x:c r="G66" s="54" t="str">
        <x:v>QAR-ARMS</x:v>
      </x:c>
      <x:c r="H66" s="54" t="str">
        <x:v>ORDNANCE</x:v>
      </x:c>
      <x:c r="I66" s="54" t="str">
        <x:v>KIT-LABEL</x:v>
      </x:c>
      <x:c r="J66" s="65" t="str"/>
    </x:row>
    <x:row r="67">
      <x:c r="A67" s="54" t="str">
        <x:v>PRT-0017</x:v>
      </x:c>
      <x:c r="B67" s="54" t="str">
        <x:v>EA</x:v>
      </x:c>
      <x:c r="C67" s="64" t="n">
        <x:v>1800</x:v>
      </x:c>
      <x:c r="D67" s="54" t="str"/>
      <x:c r="E67" s="54" t="str">
        <x:v>RECOVERED</x:v>
      </x:c>
      <x:c r="F67" s="54" t="str">
        <x:v>MEDIUM</x:v>
      </x:c>
      <x:c r="G67" s="54" t="str">
        <x:v>QAR-ARMS</x:v>
      </x:c>
      <x:c r="H67" s="54" t="str"/>
      <x:c r="I67" s="54" t="str">
        <x:v>PART-ID</x:v>
      </x:c>
      <x:c r="J67" s="65" t="str"/>
    </x:row>
    <x:row r="68">
      <x:c r="A68" s="54" t="str">
        <x:v>PRT-0018</x:v>
      </x:c>
      <x:c r="B68" s="54" t="str">
        <x:v>EA</x:v>
      </x:c>
      <x:c r="C68" s="64" t="n">
        <x:v>1200</x:v>
      </x:c>
      <x:c r="D68" s="54" t="str"/>
      <x:c r="E68" s="54" t="str">
        <x:v>RECOVERED</x:v>
      </x:c>
      <x:c r="F68" s="54" t="str">
        <x:v>MEDIUM</x:v>
      </x:c>
      <x:c r="G68" s="54" t="str">
        <x:v>QAR-ARMS</x:v>
      </x:c>
      <x:c r="H68" s="54" t="str"/>
      <x:c r="I68" s="54" t="str">
        <x:v>PART-ID</x:v>
      </x:c>
      <x:c r="J68" s="65" t="str"/>
    </x:row>
    <x:row r="69">
      <x:c r="A69" s="54" t="str">
        <x:v>PRT-0019</x:v>
      </x:c>
      <x:c r="B69" s="54" t="str">
        <x:v>EA</x:v>
      </x:c>
      <x:c r="C69" s="64" t="n">
        <x:v>145</x:v>
      </x:c>
      <x:c r="D69" s="54" t="str"/>
      <x:c r="E69" s="54" t="str">
        <x:v>RECOVERED</x:v>
      </x:c>
      <x:c r="F69" s="54" t="str">
        <x:v>MEDIUM</x:v>
      </x:c>
      <x:c r="G69" s="54" t="str">
        <x:v>QAR-ARMS</x:v>
      </x:c>
      <x:c r="H69" s="54" t="str"/>
      <x:c r="I69" s="54" t="str">
        <x:v>PART-ID</x:v>
      </x:c>
      <x:c r="J69" s="65" t="str"/>
    </x:row>
    <x:row r="70">
      <x:c r="A70" s="54" t="str">
        <x:v>ASM-0008</x:v>
      </x:c>
      <x:c r="B70" s="54" t="str">
        <x:v>EA</x:v>
      </x:c>
      <x:c r="C70" s="64"/>
      <x:c r="D70" s="54" t="str"/>
      <x:c r="E70" s="54" t="str">
        <x:v>RECONSTRUCTED</x:v>
      </x:c>
      <x:c r="F70" s="54" t="str">
        <x:v>MEDIUM</x:v>
      </x:c>
      <x:c r="G70" s="54" t="str">
        <x:v>RECON</x:v>
      </x:c>
      <x:c r="H70" s="54" t="str"/>
      <x:c r="I70" s="54" t="str">
        <x:v>KIT-LABEL</x:v>
      </x:c>
      <x:c r="J70" s="65" t="str"/>
    </x:row>
    <x:row r="71">
      <x:c r="A71" s="54" t="str">
        <x:v>ASM-0009</x:v>
      </x:c>
      <x:c r="B71" s="54" t="str">
        <x:v>EA</x:v>
      </x:c>
      <x:c r="C71" s="64"/>
      <x:c r="D71" s="54" t="str"/>
      <x:c r="E71" s="54" t="str">
        <x:v>RECONSTRUCTED</x:v>
      </x:c>
      <x:c r="F71" s="54" t="str">
        <x:v>MEDIUM</x:v>
      </x:c>
      <x:c r="G71" s="54" t="str">
        <x:v>RECON</x:v>
      </x:c>
      <x:c r="H71" s="54" t="str"/>
      <x:c r="I71" s="54" t="str">
        <x:v>KIT-LABEL</x:v>
      </x:c>
      <x:c r="J71" s="65" t="str"/>
    </x:row>
    <x:row r="72">
      <x:c r="A72" s="54" t="str">
        <x:v>ASM-0010</x:v>
      </x:c>
      <x:c r="B72" s="54" t="str">
        <x:v>EA</x:v>
      </x:c>
      <x:c r="C72" s="64"/>
      <x:c r="D72" s="54" t="str"/>
      <x:c r="E72" s="54" t="str">
        <x:v>RECONSTRUCTED</x:v>
      </x:c>
      <x:c r="F72" s="54" t="str">
        <x:v>MEDIUM</x:v>
      </x:c>
      <x:c r="G72" s="54" t="str">
        <x:v>QAR-ARMS</x:v>
      </x:c>
      <x:c r="H72" s="54" t="str"/>
      <x:c r="I72" s="54" t="str">
        <x:v>KIT-LABEL</x:v>
      </x:c>
      <x:c r="J72" s="65" t="str"/>
    </x:row>
    <x:row r="73">
      <x:c r="A73" s="54" t="str">
        <x:v>KIT-0008</x:v>
      </x:c>
      <x:c r="B73" s="54" t="str">
        <x:v>EA</x:v>
      </x:c>
      <x:c r="C73" s="64"/>
      <x:c r="D73" s="54" t="str"/>
      <x:c r="E73" s="54" t="str">
        <x:v>RECOVERED</x:v>
      </x:c>
      <x:c r="F73" s="54" t="str">
        <x:v>MEDIUM</x:v>
      </x:c>
      <x:c r="G73" s="54" t="str">
        <x:v>QAR-ARMS</x:v>
      </x:c>
      <x:c r="H73" s="54" t="str"/>
      <x:c r="I73" s="54" t="str">
        <x:v>KIT-LABEL</x:v>
      </x:c>
      <x:c r="J73" s="65" t="str"/>
    </x:row>
    <x:row r="74">
      <x:c r="A74" s="54" t="str">
        <x:v>KIT-0009</x:v>
      </x:c>
      <x:c r="B74" s="54" t="str">
        <x:v>EA</x:v>
      </x:c>
      <x:c r="C74" s="64"/>
      <x:c r="D74" s="54" t="str"/>
      <x:c r="E74" s="54" t="str">
        <x:v>RECONSTRUCTED</x:v>
      </x:c>
      <x:c r="F74" s="54" t="str">
        <x:v>MEDIUM</x:v>
      </x:c>
      <x:c r="G74" s="54" t="str">
        <x:v>QAR-ARMS</x:v>
      </x:c>
      <x:c r="H74" s="54" t="str"/>
      <x:c r="I74" s="54" t="str">
        <x:v>KIT-LABEL</x:v>
      </x:c>
      <x:c r="J74" s="65" t="str"/>
    </x:row>
    <x:row r="75">
      <x:c r="A75" s="54" t="str">
        <x:v>KIT-0010</x:v>
      </x:c>
      <x:c r="B75" s="54" t="str">
        <x:v>EA</x:v>
      </x:c>
      <x:c r="C75" s="64"/>
      <x:c r="D75" s="54" t="str"/>
      <x:c r="E75" s="54" t="str">
        <x:v>RECONSTRUCTED</x:v>
      </x:c>
      <x:c r="F75" s="54" t="str">
        <x:v>MEDIUM</x:v>
      </x:c>
      <x:c r="G75" s="54" t="str">
        <x:v>RECON</x:v>
      </x:c>
      <x:c r="H75" s="54" t="str"/>
      <x:c r="I75" s="54" t="str">
        <x:v>KIT-LABEL</x:v>
      </x:c>
      <x:c r="J75" s="65" t="str"/>
    </x:row>
    <x:row r="76">
      <x:c r="A76" s="54" t="str">
        <x:v>KIT-0011</x:v>
      </x:c>
      <x:c r="B76" s="54" t="str">
        <x:v>EA</x:v>
      </x:c>
      <x:c r="C76" s="64"/>
      <x:c r="D76" s="54" t="str"/>
      <x:c r="E76" s="54" t="str">
        <x:v>RECONSTRUCTED</x:v>
      </x:c>
      <x:c r="F76" s="54" t="str">
        <x:v>MEDIUM</x:v>
      </x:c>
      <x:c r="G76" s="54" t="str">
        <x:v>RECON</x:v>
      </x:c>
      <x:c r="H76" s="54" t="str"/>
      <x:c r="I76" s="54" t="str">
        <x:v>KIT-LABEL</x:v>
      </x:c>
      <x:c r="J76" s="65" t="str"/>
    </x:row>
    <x:row r="77">
      <x:c r="A77" s="54" t="str">
        <x:v>KIT-0012</x:v>
      </x:c>
      <x:c r="B77" s="54" t="str">
        <x:v>EA</x:v>
      </x:c>
      <x:c r="C77" s="64"/>
      <x:c r="D77" s="54" t="str"/>
      <x:c r="E77" s="54" t="str">
        <x:v>RECONSTRUCTED</x:v>
      </x:c>
      <x:c r="F77" s="54" t="str">
        <x:v>MEDIUM</x:v>
      </x:c>
      <x:c r="G77" s="54" t="str">
        <x:v>RECON</x:v>
      </x:c>
      <x:c r="H77" s="54" t="str">
        <x:v>AMMUNITION</x:v>
      </x:c>
      <x:c r="I77" s="54" t="str">
        <x:v>KIT-LABEL</x:v>
      </x:c>
      <x:c r="J77" s="65" t="str"/>
    </x:row>
    <x:row r="78">
      <x:c r="A78" s="54" t="str">
        <x:v>KIT-0013</x:v>
      </x:c>
      <x:c r="B78" s="54" t="str">
        <x:v>EA</x:v>
      </x:c>
      <x:c r="C78" s="64"/>
      <x:c r="D78" s="54" t="str"/>
      <x:c r="E78" s="54" t="str">
        <x:v>RECONSTRUCTED</x:v>
      </x:c>
      <x:c r="F78" s="54" t="str">
        <x:v>MEDIUM</x:v>
      </x:c>
      <x:c r="G78" s="54" t="str">
        <x:v>RECON</x:v>
      </x:c>
      <x:c r="H78" s="54" t="str">
        <x:v>AMMUNITION</x:v>
      </x:c>
      <x:c r="I78" s="54" t="str">
        <x:v>KIT-LABEL</x:v>
      </x:c>
      <x:c r="J78" s="65" t="str"/>
    </x:row>
    <x:row r="79">
      <x:c r="A79" s="54" t="str">
        <x:v>KIT-0014</x:v>
      </x:c>
      <x:c r="B79" s="54" t="str">
        <x:v>EA</x:v>
      </x:c>
      <x:c r="C79" s="64"/>
      <x:c r="D79" s="54" t="str"/>
      <x:c r="E79" s="54" t="str">
        <x:v>RECONSTRUCTED</x:v>
      </x:c>
      <x:c r="F79" s="54" t="str">
        <x:v>MEDIUM</x:v>
      </x:c>
      <x:c r="G79" s="54" t="str">
        <x:v>RECON</x:v>
      </x:c>
      <x:c r="H79" s="54" t="str">
        <x:v>AMMUNITION</x:v>
      </x:c>
      <x:c r="I79" s="54" t="str">
        <x:v>KIT-LABEL</x:v>
      </x:c>
      <x:c r="J79" s="65" t="str"/>
    </x:row>
    <x:row r="80">
      <x:c r="A80" s="54" t="str">
        <x:v>LBL-0001</x:v>
      </x:c>
      <x:c r="B80" s="54" t="str">
        <x:v>EA</x:v>
      </x:c>
      <x:c r="C80" s="64"/>
      <x:c r="D80" s="54" t="str"/>
      <x:c r="E80" s="54" t="str">
        <x:v>FICTIONAL</x:v>
      </x:c>
      <x:c r="F80" s="54" t="str">
        <x:v>N/A</x:v>
      </x:c>
      <x:c r="G80" s="54" t="str">
        <x:v>FICTION</x:v>
      </x:c>
      <x:c r="H80" s="54" t="str">
        <x:v>ORDNANCE</x:v>
      </x:c>
      <x:c r="I80" s="54" t="str">
        <x:v>LABEL-STOCK</x:v>
      </x:c>
      <x:c r="J80" s="65" t="str">
        <x:v>Fictional reconstruction-yard safety label; not represented as an eighteenth-century artifact.</x:v>
      </x:c>
    </x:row>
    <x:row r="81">
      <x:c r="A81" s="54" t="str">
        <x:v>LBL-0002</x:v>
      </x:c>
      <x:c r="B81" s="54" t="str">
        <x:v>EA</x:v>
      </x:c>
      <x:c r="C81" s="64"/>
      <x:c r="D81" s="54" t="str"/>
      <x:c r="E81" s="54" t="str">
        <x:v>FICTIONAL</x:v>
      </x:c>
      <x:c r="F81" s="54" t="str">
        <x:v>N/A</x:v>
      </x:c>
      <x:c r="G81" s="54" t="str">
        <x:v>FICTION</x:v>
      </x:c>
      <x:c r="H81" s="54" t="str">
        <x:v>ORDNANCE</x:v>
      </x:c>
      <x:c r="I81" s="54" t="str">
        <x:v>LABEL-STOCK</x:v>
      </x:c>
      <x:c r="J81" s="65" t="str"/>
    </x:row>
    <x:row r="82">
      <x:c r="A82" s="54" t="str">
        <x:v>LBL-0003</x:v>
      </x:c>
      <x:c r="B82" s="54" t="str">
        <x:v>EA</x:v>
      </x:c>
      <x:c r="C82" s="64"/>
      <x:c r="D82" s="54" t="str"/>
      <x:c r="E82" s="54" t="str">
        <x:v>FICTIONAL</x:v>
      </x:c>
      <x:c r="F82" s="54" t="str">
        <x:v>N/A</x:v>
      </x:c>
      <x:c r="G82" s="54" t="str">
        <x:v>FICTION</x:v>
      </x:c>
      <x:c r="H82" s="54" t="str">
        <x:v>ORDNANCE</x:v>
      </x:c>
      <x:c r="I82" s="54" t="str">
        <x:v>LABEL-STOCK</x:v>
      </x:c>
      <x:c r="J82" s="65" t="str"/>
    </x:row>
    <x:row r="83">
      <x:c r="A83" s="54" t="str">
        <x:v>PRT-0020</x:v>
      </x:c>
      <x:c r="B83" s="54" t="str">
        <x:v>EA</x:v>
      </x:c>
      <x:c r="C83" s="64" t="n">
        <x:v>85</x:v>
      </x:c>
      <x:c r="D83" s="54" t="str"/>
      <x:c r="E83" s="54" t="str">
        <x:v>RECONSTRUCTED</x:v>
      </x:c>
      <x:c r="F83" s="54" t="str">
        <x:v>MEDIUM</x:v>
      </x:c>
      <x:c r="G83" s="54" t="str">
        <x:v>RECON</x:v>
      </x:c>
      <x:c r="H83" s="54" t="str"/>
      <x:c r="I83" s="54" t="str">
        <x:v>PART-ID</x:v>
      </x:c>
      <x:c r="J83" s="65" t="str"/>
    </x:row>
    <x:row r="84">
      <x:c r="A84" s="54" t="str">
        <x:v>PRT-0021</x:v>
      </x:c>
      <x:c r="B84" s="54" t="str">
        <x:v>EA</x:v>
      </x:c>
      <x:c r="C84" s="64" t="n">
        <x:v>60</x:v>
      </x:c>
      <x:c r="D84" s="54" t="str"/>
      <x:c r="E84" s="54" t="str">
        <x:v>RECONSTRUCTED</x:v>
      </x:c>
      <x:c r="F84" s="54" t="str">
        <x:v>MEDIUM</x:v>
      </x:c>
      <x:c r="G84" s="54" t="str">
        <x:v>RECON</x:v>
      </x:c>
      <x:c r="H84" s="54" t="str"/>
      <x:c r="I84" s="54" t="str">
        <x:v>PART-ID</x:v>
      </x:c>
      <x:c r="J84" s="65" t="str"/>
    </x:row>
    <x:row r="85">
      <x:c r="A85" s="54" t="str">
        <x:v>PRT-0022</x:v>
      </x:c>
      <x:c r="B85" s="54" t="str">
        <x:v>EA</x:v>
      </x:c>
      <x:c r="C85" s="64" t="n">
        <x:v>95</x:v>
      </x:c>
      <x:c r="D85" s="54" t="str"/>
      <x:c r="E85" s="54" t="str">
        <x:v>RECONSTRUCTED</x:v>
      </x:c>
      <x:c r="F85" s="54" t="str">
        <x:v>MEDIUM</x:v>
      </x:c>
      <x:c r="G85" s="54" t="str">
        <x:v>RECON</x:v>
      </x:c>
      <x:c r="H85" s="54" t="str"/>
      <x:c r="I85" s="54" t="str">
        <x:v>PART-ID</x:v>
      </x:c>
      <x:c r="J85" s="65" t="str"/>
    </x:row>
    <x:row r="86">
      <x:c r="A86" s="54" t="str">
        <x:v>PRT-0023</x:v>
      </x:c>
      <x:c r="B86" s="54" t="str">
        <x:v>EA</x:v>
      </x:c>
      <x:c r="C86" s="64" t="n">
        <x:v>70</x:v>
      </x:c>
      <x:c r="D86" s="54" t="str"/>
      <x:c r="E86" s="54" t="str">
        <x:v>RECONSTRUCTED</x:v>
      </x:c>
      <x:c r="F86" s="54" t="str">
        <x:v>MEDIUM</x:v>
      </x:c>
      <x:c r="G86" s="54" t="str">
        <x:v>RECON</x:v>
      </x:c>
      <x:c r="H86" s="54" t="str"/>
      <x:c r="I86" s="54" t="str">
        <x:v>PART-ID</x:v>
      </x:c>
      <x:c r="J86" s="65" t="str"/>
    </x:row>
    <x:row r="87">
      <x:c r="A87" s="54" t="str">
        <x:v>PRT-0024</x:v>
      </x:c>
      <x:c r="B87" s="54" t="str">
        <x:v>EA</x:v>
      </x:c>
      <x:c r="C87" s="64" t="n">
        <x:v>45</x:v>
      </x:c>
      <x:c r="D87" s="54" t="str"/>
      <x:c r="E87" s="54" t="str">
        <x:v>RECONSTRUCTED</x:v>
      </x:c>
      <x:c r="F87" s="54" t="str">
        <x:v>MEDIUM</x:v>
      </x:c>
      <x:c r="G87" s="54" t="str">
        <x:v>RECON</x:v>
      </x:c>
      <x:c r="H87" s="54" t="str"/>
      <x:c r="I87" s="54" t="str">
        <x:v>PART-ID</x:v>
      </x:c>
      <x:c r="J87" s="65" t="str"/>
    </x:row>
    <x:row r="88">
      <x:c r="A88" s="54" t="str">
        <x:v>PRT-0025</x:v>
      </x:c>
      <x:c r="B88" s="54" t="str">
        <x:v>EA</x:v>
      </x:c>
      <x:c r="C88" s="64" t="n">
        <x:v>34</x:v>
      </x:c>
      <x:c r="D88" s="54" t="str"/>
      <x:c r="E88" s="54" t="str">
        <x:v>RECONSTRUCTED</x:v>
      </x:c>
      <x:c r="F88" s="54" t="str">
        <x:v>MEDIUM</x:v>
      </x:c>
      <x:c r="G88" s="54" t="str">
        <x:v>RECON</x:v>
      </x:c>
      <x:c r="H88" s="54" t="str"/>
      <x:c r="I88" s="54" t="str">
        <x:v>PART-ID</x:v>
      </x:c>
      <x:c r="J88" s="65" t="str"/>
    </x:row>
    <x:row r="89">
      <x:c r="A89" s="54" t="str">
        <x:v>PRT-0026</x:v>
      </x:c>
      <x:c r="B89" s="54" t="str">
        <x:v>EA</x:v>
      </x:c>
      <x:c r="C89" s="64" t="n">
        <x:v>18</x:v>
      </x:c>
      <x:c r="D89" s="54" t="str"/>
      <x:c r="E89" s="54" t="str">
        <x:v>RECONSTRUCTED</x:v>
      </x:c>
      <x:c r="F89" s="54" t="str">
        <x:v>MEDIUM</x:v>
      </x:c>
      <x:c r="G89" s="54" t="str">
        <x:v>RECON</x:v>
      </x:c>
      <x:c r="H89" s="54" t="str"/>
      <x:c r="I89" s="54" t="str">
        <x:v>PART-ID</x:v>
      </x:c>
      <x:c r="J89" s="65" t="str"/>
    </x:row>
    <x:row r="90">
      <x:c r="A90" s="54" t="str">
        <x:v>PRT-0027</x:v>
      </x:c>
      <x:c r="B90" s="54" t="str">
        <x:v>EA</x:v>
      </x:c>
      <x:c r="C90" s="64" t="n">
        <x:v>13</x:v>
      </x:c>
      <x:c r="D90" s="54" t="str"/>
      <x:c r="E90" s="54" t="str">
        <x:v>RECONSTRUCTED</x:v>
      </x:c>
      <x:c r="F90" s="54" t="str">
        <x:v>MEDIUM</x:v>
      </x:c>
      <x:c r="G90" s="54" t="str">
        <x:v>RECON</x:v>
      </x:c>
      <x:c r="H90" s="54" t="str"/>
      <x:c r="I90" s="54" t="str">
        <x:v>PART-ID</x:v>
      </x:c>
      <x:c r="J90" s="65" t="str"/>
    </x:row>
    <x:row r="91">
      <x:c r="A91" s="54" t="str">
        <x:v>PRT-0028</x:v>
      </x:c>
      <x:c r="B91" s="54" t="str">
        <x:v>EA</x:v>
      </x:c>
      <x:c r="C91" s="64" t="n">
        <x:v>28</x:v>
      </x:c>
      <x:c r="D91" s="54" t="str"/>
      <x:c r="E91" s="54" t="str">
        <x:v>RECONSTRUCTED</x:v>
      </x:c>
      <x:c r="F91" s="54" t="str">
        <x:v>MEDIUM</x:v>
      </x:c>
      <x:c r="G91" s="54" t="str">
        <x:v>RECON</x:v>
      </x:c>
      <x:c r="H91" s="54" t="str"/>
      <x:c r="I91" s="54" t="str">
        <x:v>PART-ID</x:v>
      </x:c>
      <x:c r="J91" s="65" t="str"/>
    </x:row>
    <x:row r="92">
      <x:c r="A92" s="54" t="str">
        <x:v>PRT-0029</x:v>
      </x:c>
      <x:c r="B92" s="54" t="str">
        <x:v>EA</x:v>
      </x:c>
      <x:c r="C92" s="64" t="n">
        <x:v>0.7</x:v>
      </x:c>
      <x:c r="D92" s="54" t="str"/>
      <x:c r="E92" s="54" t="str">
        <x:v>RECONSTRUCTED</x:v>
      </x:c>
      <x:c r="F92" s="54" t="str">
        <x:v>MEDIUM</x:v>
      </x:c>
      <x:c r="G92" s="54" t="str">
        <x:v>RECON</x:v>
      </x:c>
      <x:c r="H92" s="54" t="str"/>
      <x:c r="I92" s="54" t="str">
        <x:v>PART-ID</x:v>
      </x:c>
      <x:c r="J92" s="65" t="str"/>
    </x:row>
    <x:row r="93">
      <x:c r="A93" s="54" t="str">
        <x:v>ASM-0011</x:v>
      </x:c>
      <x:c r="B93" s="54" t="str">
        <x:v>EA</x:v>
      </x:c>
      <x:c r="C93" s="64" t="n">
        <x:v>12</x:v>
      </x:c>
      <x:c r="D93" s="54" t="str"/>
      <x:c r="E93" s="54" t="str">
        <x:v>RECONSTRUCTED</x:v>
      </x:c>
      <x:c r="F93" s="54" t="str">
        <x:v>MEDIUM</x:v>
      </x:c>
      <x:c r="G93" s="54" t="str">
        <x:v>QAR-ARMS</x:v>
      </x:c>
      <x:c r="H93" s="54" t="str"/>
      <x:c r="I93" s="54" t="str">
        <x:v>KIT-LABEL</x:v>
      </x:c>
      <x:c r="J93" s="65" t="str"/>
    </x:row>
    <x:row r="94">
      <x:c r="A94" s="54" t="str">
        <x:v>PRT-0030</x:v>
      </x:c>
      <x:c r="B94" s="54" t="str">
        <x:v>EA</x:v>
      </x:c>
      <x:c r="C94" s="64" t="n">
        <x:v>9</x:v>
      </x:c>
      <x:c r="D94" s="54" t="str"/>
      <x:c r="E94" s="54" t="str">
        <x:v>RECONSTRUCTED</x:v>
      </x:c>
      <x:c r="F94" s="54" t="str">
        <x:v>MEDIUM</x:v>
      </x:c>
      <x:c r="G94" s="54" t="str">
        <x:v>RECON</x:v>
      </x:c>
      <x:c r="H94" s="54" t="str"/>
      <x:c r="I94" s="54" t="str">
        <x:v>PART-ID</x:v>
      </x:c>
      <x:c r="J94" s="65" t="str"/>
    </x:row>
    <x:row r="95">
      <x:c r="A95" s="54" t="str">
        <x:v>PRT-0031</x:v>
      </x:c>
      <x:c r="B95" s="54" t="str">
        <x:v>EA</x:v>
      </x:c>
      <x:c r="C95" s="64" t="n">
        <x:v>12</x:v>
      </x:c>
      <x:c r="D95" s="54" t="str"/>
      <x:c r="E95" s="54" t="str">
        <x:v>RECONSTRUCTED</x:v>
      </x:c>
      <x:c r="F95" s="54" t="str">
        <x:v>MEDIUM</x:v>
      </x:c>
      <x:c r="G95" s="54" t="str">
        <x:v>QAR-ARMS</x:v>
      </x:c>
      <x:c r="H95" s="54" t="str"/>
      <x:c r="I95" s="54" t="str">
        <x:v>PART-ID</x:v>
      </x:c>
      <x:c r="J95" s="65" t="str"/>
    </x:row>
    <x:row r="96">
      <x:c r="A96" s="54" t="str">
        <x:v>PRT-0032</x:v>
      </x:c>
      <x:c r="B96" s="54" t="str">
        <x:v>EA</x:v>
      </x:c>
      <x:c r="C96" s="64" t="n">
        <x:v>10</x:v>
      </x:c>
      <x:c r="D96" s="54" t="str"/>
      <x:c r="E96" s="54" t="str">
        <x:v>RECONSTRUCTED</x:v>
      </x:c>
      <x:c r="F96" s="54" t="str">
        <x:v>MEDIUM</x:v>
      </x:c>
      <x:c r="G96" s="54" t="str">
        <x:v>QAR-ARMS</x:v>
      </x:c>
      <x:c r="H96" s="54" t="str"/>
      <x:c r="I96" s="54" t="str">
        <x:v>PART-ID</x:v>
      </x:c>
      <x:c r="J96" s="65" t="str"/>
    </x:row>
    <x:row r="97">
      <x:c r="A97" s="54" t="str">
        <x:v>PRT-0033</x:v>
      </x:c>
      <x:c r="B97" s="54" t="str">
        <x:v>EA</x:v>
      </x:c>
      <x:c r="C97" s="64" t="n">
        <x:v>8</x:v>
      </x:c>
      <x:c r="D97" s="54" t="str"/>
      <x:c r="E97" s="54" t="str">
        <x:v>RECONSTRUCTED</x:v>
      </x:c>
      <x:c r="F97" s="54" t="str">
        <x:v>MEDIUM</x:v>
      </x:c>
      <x:c r="G97" s="54" t="str">
        <x:v>QAR-ARMS</x:v>
      </x:c>
      <x:c r="H97" s="54" t="str"/>
      <x:c r="I97" s="54" t="str">
        <x:v>PART-ID</x:v>
      </x:c>
      <x:c r="J97" s="65" t="str"/>
    </x:row>
    <x:row r="98">
      <x:c r="A98" s="54" t="str">
        <x:v>PRT-0034</x:v>
      </x:c>
      <x:c r="B98" s="54" t="str">
        <x:v>EA</x:v>
      </x:c>
      <x:c r="C98" s="64" t="n">
        <x:v>5</x:v>
      </x:c>
      <x:c r="D98" s="54" t="str"/>
      <x:c r="E98" s="54" t="str">
        <x:v>RECONSTRUCTED</x:v>
      </x:c>
      <x:c r="F98" s="54" t="str">
        <x:v>MEDIUM</x:v>
      </x:c>
      <x:c r="G98" s="54" t="str">
        <x:v>QAR-ARMS</x:v>
      </x:c>
      <x:c r="H98" s="54" t="str"/>
      <x:c r="I98" s="54" t="str">
        <x:v>PART-ID</x:v>
      </x:c>
      <x:c r="J98" s="65" t="str"/>
    </x:row>
    <x:row r="99">
      <x:c r="A99" s="54" t="str">
        <x:v>PRT-0035</x:v>
      </x:c>
      <x:c r="B99" s="54" t="str">
        <x:v>EA</x:v>
      </x:c>
      <x:c r="C99" s="64" t="n">
        <x:v>7</x:v>
      </x:c>
      <x:c r="D99" s="54" t="str"/>
      <x:c r="E99" s="54" t="str">
        <x:v>RECONSTRUCTED</x:v>
      </x:c>
      <x:c r="F99" s="54" t="str">
        <x:v>MEDIUM</x:v>
      </x:c>
      <x:c r="G99" s="54" t="str">
        <x:v>RECON</x:v>
      </x:c>
      <x:c r="H99" s="54" t="str"/>
      <x:c r="I99" s="54" t="str">
        <x:v>PART-ID</x:v>
      </x:c>
      <x:c r="J99" s="65" t="str"/>
    </x:row>
    <x:row r="100">
      <x:c r="A100" s="54" t="str">
        <x:v>PRT-0036</x:v>
      </x:c>
      <x:c r="B100" s="54" t="str">
        <x:v>EA</x:v>
      </x:c>
      <x:c r="C100" s="64" t="n">
        <x:v>16</x:v>
      </x:c>
      <x:c r="D100" s="54" t="str"/>
      <x:c r="E100" s="54" t="str">
        <x:v>RECOVERED</x:v>
      </x:c>
      <x:c r="F100" s="54" t="str">
        <x:v>MEDIUM</x:v>
      </x:c>
      <x:c r="G100" s="54" t="str">
        <x:v>QAR-TOOLS</x:v>
      </x:c>
      <x:c r="H100" s="54" t="str"/>
      <x:c r="I100" s="54" t="str">
        <x:v>PART-ID</x:v>
      </x:c>
      <x:c r="J100" s="65" t="str"/>
    </x:row>
    <x:row r="101">
      <x:c r="A101" s="54" t="str">
        <x:v>KIT-0015</x:v>
      </x:c>
      <x:c r="B101" s="54" t="str">
        <x:v>EA</x:v>
      </x:c>
      <x:c r="C101" s="64" t="n">
        <x:v>0.5</x:v>
      </x:c>
      <x:c r="D101" s="54" t="str"/>
      <x:c r="E101" s="54" t="str">
        <x:v>RECONSTRUCTED</x:v>
      </x:c>
      <x:c r="F101" s="54" t="str">
        <x:v>MEDIUM</x:v>
      </x:c>
      <x:c r="G101" s="54" t="str">
        <x:v>RECON</x:v>
      </x:c>
      <x:c r="H101" s="54" t="str"/>
      <x:c r="I101" s="54" t="str">
        <x:v>KIT-LABEL</x:v>
      </x:c>
      <x:c r="J101" s="65" t="str"/>
    </x:row>
    <x:row r="102">
      <x:c r="A102" s="54" t="str">
        <x:v>PRT-0037</x:v>
      </x:c>
      <x:c r="B102" s="54" t="str">
        <x:v>EA</x:v>
      </x:c>
      <x:c r="C102" s="64" t="n">
        <x:v>2.5</x:v>
      </x:c>
      <x:c r="D102" s="54" t="str"/>
      <x:c r="E102" s="54" t="str">
        <x:v>RECOVERED</x:v>
      </x:c>
      <x:c r="F102" s="54" t="str">
        <x:v>MEDIUM</x:v>
      </x:c>
      <x:c r="G102" s="54" t="str">
        <x:v>QAR-ARMS</x:v>
      </x:c>
      <x:c r="H102" s="54" t="str"/>
      <x:c r="I102" s="54" t="str">
        <x:v>PART-ID</x:v>
      </x:c>
      <x:c r="J102" s="65" t="str"/>
    </x:row>
    <x:row r="103">
      <x:c r="A103" s="54" t="str">
        <x:v>PRT-0038</x:v>
      </x:c>
      <x:c r="B103" s="54" t="str">
        <x:v>EA</x:v>
      </x:c>
      <x:c r="C103" s="64" t="n">
        <x:v>2</x:v>
      </x:c>
      <x:c r="D103" s="54" t="str"/>
      <x:c r="E103" s="54" t="str">
        <x:v>RECOVERED</x:v>
      </x:c>
      <x:c r="F103" s="54" t="str">
        <x:v>MEDIUM</x:v>
      </x:c>
      <x:c r="G103" s="54" t="str">
        <x:v>QAR-ARMS</x:v>
      </x:c>
      <x:c r="H103" s="54" t="str"/>
      <x:c r="I103" s="54" t="str">
        <x:v>PART-ID</x:v>
      </x:c>
      <x:c r="J103" s="65" t="str"/>
    </x:row>
    <x:row r="104">
      <x:c r="A104" s="54" t="str">
        <x:v>PRT-0039</x:v>
      </x:c>
      <x:c r="B104" s="54" t="str">
        <x:v>EA</x:v>
      </x:c>
      <x:c r="C104" s="64" t="n">
        <x:v>1.5</x:v>
      </x:c>
      <x:c r="D104" s="54" t="str"/>
      <x:c r="E104" s="54" t="str">
        <x:v>RECOVERED</x:v>
      </x:c>
      <x:c r="F104" s="54" t="str">
        <x:v>MEDIUM</x:v>
      </x:c>
      <x:c r="G104" s="54" t="str">
        <x:v>QAR-ARMS</x:v>
      </x:c>
      <x:c r="H104" s="54" t="str"/>
      <x:c r="I104" s="54" t="str">
        <x:v>PART-ID</x:v>
      </x:c>
      <x:c r="J104" s="65" t="str"/>
    </x:row>
    <x:row r="105">
      <x:c r="A105" s="54" t="str">
        <x:v>PRT-0040</x:v>
      </x:c>
      <x:c r="B105" s="54" t="str">
        <x:v>EA</x:v>
      </x:c>
      <x:c r="C105" s="64" t="n">
        <x:v>6</x:v>
      </x:c>
      <x:c r="D105" s="54" t="str"/>
      <x:c r="E105" s="54" t="str">
        <x:v>RECONSTRUCTED</x:v>
      </x:c>
      <x:c r="F105" s="54" t="str">
        <x:v>MEDIUM</x:v>
      </x:c>
      <x:c r="G105" s="54" t="str">
        <x:v>RECON</x:v>
      </x:c>
      <x:c r="H105" s="54" t="str"/>
      <x:c r="I105" s="54" t="str">
        <x:v>PART-ID</x:v>
      </x:c>
      <x:c r="J105" s="65" t="str"/>
    </x:row>
    <x:row r="106">
      <x:c r="A106" s="54" t="str">
        <x:v>ASM-0012</x:v>
      </x:c>
      <x:c r="B106" s="54" t="str">
        <x:v>EA</x:v>
      </x:c>
      <x:c r="C106" s="64" t="n">
        <x:v>4</x:v>
      </x:c>
      <x:c r="D106" s="54" t="str"/>
      <x:c r="E106" s="54" t="str">
        <x:v>RECONSTRUCTED</x:v>
      </x:c>
      <x:c r="F106" s="54" t="str">
        <x:v>MEDIUM</x:v>
      </x:c>
      <x:c r="G106" s="54" t="str">
        <x:v>RECON</x:v>
      </x:c>
      <x:c r="H106" s="54" t="str"/>
      <x:c r="I106" s="54" t="str">
        <x:v>KIT-LABEL</x:v>
      </x:c>
      <x:c r="J106" s="65" t="str"/>
    </x:row>
    <x:row r="107">
      <x:c r="A107" s="54" t="str">
        <x:v>PRT-0041</x:v>
      </x:c>
      <x:c r="B107" s="54" t="str">
        <x:v>EA</x:v>
      </x:c>
      <x:c r="C107" s="64" t="n">
        <x:v>24</x:v>
      </x:c>
      <x:c r="D107" s="54" t="str"/>
      <x:c r="E107" s="54" t="str">
        <x:v>RECOVERED</x:v>
      </x:c>
      <x:c r="F107" s="54" t="str">
        <x:v>MEDIUM</x:v>
      </x:c>
      <x:c r="G107" s="54" t="str">
        <x:v>QAR-ARMS</x:v>
      </x:c>
      <x:c r="H107" s="54" t="str"/>
      <x:c r="I107" s="54" t="str">
        <x:v>PART-ID</x:v>
      </x:c>
      <x:c r="J107" s="65" t="str"/>
    </x:row>
    <x:row r="108">
      <x:c r="A108" s="54" t="str">
        <x:v>PRT-0042</x:v>
      </x:c>
      <x:c r="B108" s="54" t="str">
        <x:v>EA</x:v>
      </x:c>
      <x:c r="C108" s="64" t="n">
        <x:v>12</x:v>
      </x:c>
      <x:c r="D108" s="54" t="str"/>
      <x:c r="E108" s="54" t="str">
        <x:v>RECOVERED</x:v>
      </x:c>
      <x:c r="F108" s="54" t="str">
        <x:v>MEDIUM</x:v>
      </x:c>
      <x:c r="G108" s="54" t="str">
        <x:v>QAR-ARMS</x:v>
      </x:c>
      <x:c r="H108" s="54" t="str"/>
      <x:c r="I108" s="54" t="str">
        <x:v>PART-ID</x:v>
      </x:c>
      <x:c r="J108" s="65" t="str"/>
    </x:row>
    <x:row r="109">
      <x:c r="A109" s="54" t="str">
        <x:v>PRT-0043</x:v>
      </x:c>
      <x:c r="B109" s="54" t="str">
        <x:v>EA</x:v>
      </x:c>
      <x:c r="C109" s="64" t="n">
        <x:v>38</x:v>
      </x:c>
      <x:c r="D109" s="54" t="str"/>
      <x:c r="E109" s="54" t="str">
        <x:v>RECONSTRUCTED</x:v>
      </x:c>
      <x:c r="F109" s="54" t="str">
        <x:v>MEDIUM</x:v>
      </x:c>
      <x:c r="G109" s="54" t="str">
        <x:v>RECON</x:v>
      </x:c>
      <x:c r="H109" s="54" t="str"/>
      <x:c r="I109" s="54" t="str">
        <x:v>PART-ID</x:v>
      </x:c>
      <x:c r="J109" s="65" t="str"/>
    </x:row>
    <x:row r="110">
      <x:c r="A110" s="54" t="str">
        <x:v>PRT-0044</x:v>
      </x:c>
      <x:c r="B110" s="54" t="str">
        <x:v>EA</x:v>
      </x:c>
      <x:c r="C110" s="64" t="n">
        <x:v>28</x:v>
      </x:c>
      <x:c r="D110" s="54" t="str"/>
      <x:c r="E110" s="54" t="str">
        <x:v>RECONSTRUCTED</x:v>
      </x:c>
      <x:c r="F110" s="54" t="str">
        <x:v>MEDIUM</x:v>
      </x:c>
      <x:c r="G110" s="54" t="str">
        <x:v>RECON</x:v>
      </x:c>
      <x:c r="H110" s="54" t="str"/>
      <x:c r="I110" s="54" t="str">
        <x:v>PART-ID</x:v>
      </x:c>
      <x:c r="J110" s="65" t="str"/>
    </x:row>
    <x:row r="111">
      <x:c r="A111" s="54" t="str">
        <x:v>ASM-0013</x:v>
      </x:c>
      <x:c r="B111" s="54" t="str">
        <x:v>EA</x:v>
      </x:c>
      <x:c r="C111" s="64" t="n">
        <x:v>18</x:v>
      </x:c>
      <x:c r="D111" s="54" t="str"/>
      <x:c r="E111" s="54" t="str">
        <x:v>RECONSTRUCTED</x:v>
      </x:c>
      <x:c r="F111" s="54" t="str">
        <x:v>MEDIUM</x:v>
      </x:c>
      <x:c r="G111" s="54" t="str">
        <x:v>RECON</x:v>
      </x:c>
      <x:c r="H111" s="54" t="str"/>
      <x:c r="I111" s="54" t="str">
        <x:v>KIT-LABEL</x:v>
      </x:c>
      <x:c r="J111" s="65" t="str"/>
    </x:row>
    <x:row r="112">
      <x:c r="A112" s="54" t="str">
        <x:v>PRT-0045</x:v>
      </x:c>
      <x:c r="B112" s="54" t="str">
        <x:v>EA</x:v>
      </x:c>
      <x:c r="C112" s="64" t="n">
        <x:v>4</x:v>
      </x:c>
      <x:c r="D112" s="54" t="str"/>
      <x:c r="E112" s="54" t="str">
        <x:v>RECONSTRUCTED</x:v>
      </x:c>
      <x:c r="F112" s="54" t="str">
        <x:v>MEDIUM</x:v>
      </x:c>
      <x:c r="G112" s="54" t="str">
        <x:v>RECON</x:v>
      </x:c>
      <x:c r="H112" s="54" t="str"/>
      <x:c r="I112" s="54" t="str">
        <x:v>PART-ID</x:v>
      </x:c>
      <x:c r="J112" s="65" t="str"/>
    </x:row>
    <x:row r="113">
      <x:c r="A113" s="54" t="str">
        <x:v>PRT-0046</x:v>
      </x:c>
      <x:c r="B113" s="54" t="str">
        <x:v>EA</x:v>
      </x:c>
      <x:c r="C113" s="64" t="n">
        <x:v>6</x:v>
      </x:c>
      <x:c r="D113" s="54" t="str"/>
      <x:c r="E113" s="54" t="str">
        <x:v>RECONSTRUCTED</x:v>
      </x:c>
      <x:c r="F113" s="54" t="str">
        <x:v>MEDIUM</x:v>
      </x:c>
      <x:c r="G113" s="54" t="str">
        <x:v>RECON</x:v>
      </x:c>
      <x:c r="H113" s="54" t="str"/>
      <x:c r="I113" s="54" t="str">
        <x:v>PART-ID</x:v>
      </x:c>
      <x:c r="J113" s="65" t="str"/>
    </x:row>
    <x:row r="114">
      <x:c r="A114" s="54" t="str">
        <x:v>PRT-0047</x:v>
      </x:c>
      <x:c r="B114" s="54" t="str">
        <x:v>EA</x:v>
      </x:c>
      <x:c r="C114" s="64" t="n">
        <x:v>8</x:v>
      </x:c>
      <x:c r="D114" s="54" t="str"/>
      <x:c r="E114" s="54" t="str">
        <x:v>RECONSTRUCTED</x:v>
      </x:c>
      <x:c r="F114" s="54" t="str">
        <x:v>MEDIUM</x:v>
      </x:c>
      <x:c r="G114" s="54" t="str">
        <x:v>RECON</x:v>
      </x:c>
      <x:c r="H114" s="54" t="str"/>
      <x:c r="I114" s="54" t="str">
        <x:v>PART-ID</x:v>
      </x:c>
      <x:c r="J114" s="65" t="str"/>
    </x:row>
    <x:row r="115">
      <x:c r="A115" s="54" t="str">
        <x:v>PRT-0048</x:v>
      </x:c>
      <x:c r="B115" s="54" t="str">
        <x:v>EA</x:v>
      </x:c>
      <x:c r="C115" s="64" t="n">
        <x:v>2</x:v>
      </x:c>
      <x:c r="D115" s="54" t="str"/>
      <x:c r="E115" s="54" t="str">
        <x:v>RECONSTRUCTED</x:v>
      </x:c>
      <x:c r="F115" s="54" t="str">
        <x:v>MEDIUM</x:v>
      </x:c>
      <x:c r="G115" s="54" t="str">
        <x:v>RECON</x:v>
      </x:c>
      <x:c r="H115" s="54" t="str"/>
      <x:c r="I115" s="54" t="str">
        <x:v>PART-ID</x:v>
      </x:c>
      <x:c r="J115" s="65" t="str"/>
    </x:row>
    <x:row r="116">
      <x:c r="A116" s="54" t="str">
        <x:v>PRT-0049</x:v>
      </x:c>
      <x:c r="B116" s="54" t="str">
        <x:v>EA</x:v>
      </x:c>
      <x:c r="C116" s="64" t="n">
        <x:v>6</x:v>
      </x:c>
      <x:c r="D116" s="54" t="str"/>
      <x:c r="E116" s="54" t="str">
        <x:v>RECOVERED</x:v>
      </x:c>
      <x:c r="F116" s="54" t="str">
        <x:v>MEDIUM</x:v>
      </x:c>
      <x:c r="G116" s="54" t="str">
        <x:v>QAR-ARMS</x:v>
      </x:c>
      <x:c r="H116" s="54" t="str"/>
      <x:c r="I116" s="54" t="str">
        <x:v>PART-ID</x:v>
      </x:c>
      <x:c r="J116" s="65" t="str"/>
    </x:row>
    <x:row r="117">
      <x:c r="A117" s="54" t="str">
        <x:v>PRT-0050</x:v>
      </x:c>
      <x:c r="B117" s="54" t="str">
        <x:v>EA</x:v>
      </x:c>
      <x:c r="C117" s="64" t="n">
        <x:v>4</x:v>
      </x:c>
      <x:c r="D117" s="54" t="str"/>
      <x:c r="E117" s="54" t="str">
        <x:v>RECOVERED</x:v>
      </x:c>
      <x:c r="F117" s="54" t="str">
        <x:v>MEDIUM</x:v>
      </x:c>
      <x:c r="G117" s="54" t="str">
        <x:v>QAR-ARMS</x:v>
      </x:c>
      <x:c r="H117" s="54" t="str"/>
      <x:c r="I117" s="54" t="str">
        <x:v>PART-ID</x:v>
      </x:c>
      <x:c r="J117" s="65" t="str"/>
    </x:row>
    <x:row r="118">
      <x:c r="A118" s="54" t="str">
        <x:v>PRT-0051</x:v>
      </x:c>
      <x:c r="B118" s="54" t="str">
        <x:v>EA</x:v>
      </x:c>
      <x:c r="C118" s="64" t="n">
        <x:v>0.5</x:v>
      </x:c>
      <x:c r="D118" s="54" t="str"/>
      <x:c r="E118" s="54" t="str">
        <x:v>RECOVERED</x:v>
      </x:c>
      <x:c r="F118" s="54" t="str">
        <x:v>MEDIUM</x:v>
      </x:c>
      <x:c r="G118" s="54" t="str">
        <x:v>QAR-ARMS</x:v>
      </x:c>
      <x:c r="H118" s="54" t="str"/>
      <x:c r="I118" s="54" t="str">
        <x:v>PART-ID</x:v>
      </x:c>
      <x:c r="J118" s="65" t="str"/>
    </x:row>
    <x:row r="119">
      <x:c r="A119" s="54" t="str">
        <x:v>PRT-0052</x:v>
      </x:c>
      <x:c r="B119" s="54" t="str">
        <x:v>EA</x:v>
      </x:c>
      <x:c r="C119" s="64" t="n">
        <x:v>9</x:v>
      </x:c>
      <x:c r="D119" s="54" t="str"/>
      <x:c r="E119" s="54" t="str">
        <x:v>RECOVERED</x:v>
      </x:c>
      <x:c r="F119" s="54" t="str">
        <x:v>MEDIUM</x:v>
      </x:c>
      <x:c r="G119" s="54" t="str">
        <x:v>QAR-ARMS</x:v>
      </x:c>
      <x:c r="H119" s="54" t="str"/>
      <x:c r="I119" s="54" t="str">
        <x:v>PART-ID</x:v>
      </x:c>
      <x:c r="J119" s="65" t="str"/>
    </x:row>
    <x:row r="120">
      <x:c r="A120" s="54" t="str">
        <x:v>ASM-0014</x:v>
      </x:c>
      <x:c r="B120" s="54" t="str">
        <x:v>EA</x:v>
      </x:c>
      <x:c r="C120" s="64" t="n">
        <x:v>8</x:v>
      </x:c>
      <x:c r="D120" s="54" t="str"/>
      <x:c r="E120" s="54" t="str">
        <x:v>RECOVERED</x:v>
      </x:c>
      <x:c r="F120" s="54" t="str">
        <x:v>MEDIUM</x:v>
      </x:c>
      <x:c r="G120" s="54" t="str">
        <x:v>QAR-ARMS</x:v>
      </x:c>
      <x:c r="H120" s="54" t="str"/>
      <x:c r="I120" s="54" t="str">
        <x:v>KIT-LABEL</x:v>
      </x:c>
      <x:c r="J120" s="65" t="str"/>
    </x:row>
    <x:row r="121">
      <x:c r="A121" s="54" t="str">
        <x:v>MAT-0002</x:v>
      </x:c>
      <x:c r="B121" s="54" t="str">
        <x:v>EA</x:v>
      </x:c>
      <x:c r="C121" s="64" t="n">
        <x:v>0.4</x:v>
      </x:c>
      <x:c r="D121" s="54" t="str"/>
      <x:c r="E121" s="54" t="str">
        <x:v>RECOVERED</x:v>
      </x:c>
      <x:c r="F121" s="54" t="str">
        <x:v>MEDIUM</x:v>
      </x:c>
      <x:c r="G121" s="54" t="str">
        <x:v>QAR-ARMS</x:v>
      </x:c>
      <x:c r="H121" s="54" t="str"/>
      <x:c r="I121" s="54" t="str">
        <x:v>STORES-LABEL</x:v>
      </x:c>
      <x:c r="J121" s="65" t="str"/>
    </x:row>
    <x:row r="122">
      <x:c r="A122" s="54" t="str">
        <x:v>MAT-0003</x:v>
      </x:c>
      <x:c r="B122" s="54" t="str">
        <x:v>EA</x:v>
      </x:c>
      <x:c r="C122" s="64" t="n">
        <x:v>0.3</x:v>
      </x:c>
      <x:c r="D122" s="54" t="str"/>
      <x:c r="E122" s="54" t="str">
        <x:v>RECOVERED</x:v>
      </x:c>
      <x:c r="F122" s="54" t="str">
        <x:v>MEDIUM</x:v>
      </x:c>
      <x:c r="G122" s="54" t="str">
        <x:v>QAR-ARMS</x:v>
      </x:c>
      <x:c r="H122" s="54" t="str"/>
      <x:c r="I122" s="54" t="str">
        <x:v>STORES-LABEL</x:v>
      </x:c>
      <x:c r="J122" s="65" t="str"/>
    </x:row>
    <x:row r="123">
      <x:c r="A123" s="54" t="str">
        <x:v>ASM-0015</x:v>
      </x:c>
      <x:c r="B123" s="54" t="str">
        <x:v>EA</x:v>
      </x:c>
      <x:c r="C123" s="64" t="n">
        <x:v>30</x:v>
      </x:c>
      <x:c r="D123" s="54" t="str"/>
      <x:c r="E123" s="54" t="str">
        <x:v>RECONSTRUCTED</x:v>
      </x:c>
      <x:c r="F123" s="54" t="str">
        <x:v>MEDIUM</x:v>
      </x:c>
      <x:c r="G123" s="54" t="str">
        <x:v>RECON</x:v>
      </x:c>
      <x:c r="H123" s="54" t="str"/>
      <x:c r="I123" s="54" t="str">
        <x:v>KIT-LABEL</x:v>
      </x:c>
      <x:c r="J123" s="65" t="str"/>
    </x:row>
    <x:row r="124">
      <x:c r="A124" s="54" t="str">
        <x:v>ASM-0016</x:v>
      </x:c>
      <x:c r="B124" s="54" t="str">
        <x:v>EA</x:v>
      </x:c>
      <x:c r="C124" s="64" t="n">
        <x:v>25</x:v>
      </x:c>
      <x:c r="D124" s="54" t="str"/>
      <x:c r="E124" s="54" t="str">
        <x:v>RECONSTRUCTED</x:v>
      </x:c>
      <x:c r="F124" s="54" t="str">
        <x:v>MEDIUM</x:v>
      </x:c>
      <x:c r="G124" s="54" t="str">
        <x:v>RECON</x:v>
      </x:c>
      <x:c r="H124" s="54" t="str"/>
      <x:c r="I124" s="54" t="str">
        <x:v>KIT-LABEL</x:v>
      </x:c>
      <x:c r="J124" s="65" t="str"/>
    </x:row>
    <x:row r="125">
      <x:c r="A125" s="54" t="str">
        <x:v>PKG-0001</x:v>
      </x:c>
      <x:c r="B125" s="54" t="str">
        <x:v>EA</x:v>
      </x:c>
      <x:c r="C125" s="64" t="n">
        <x:v>9</x:v>
      </x:c>
      <x:c r="D125" s="54" t="str"/>
      <x:c r="E125" s="54" t="str">
        <x:v>RECONSTRUCTED</x:v>
      </x:c>
      <x:c r="F125" s="54" t="str">
        <x:v>MEDIUM</x:v>
      </x:c>
      <x:c r="G125" s="54" t="str">
        <x:v>RECON</x:v>
      </x:c>
      <x:c r="H125" s="54" t="str"/>
      <x:c r="I125" s="54" t="str">
        <x:v>KIT-LABEL</x:v>
      </x:c>
      <x:c r="J125" s="65" t="str"/>
    </x:row>
    <x:row r="126">
      <x:c r="A126" s="54" t="str">
        <x:v>ASM-0017</x:v>
      </x:c>
      <x:c r="B126" s="54" t="str">
        <x:v>EA</x:v>
      </x:c>
      <x:c r="C126" s="64" t="n">
        <x:v>31</x:v>
      </x:c>
      <x:c r="D126" s="54" t="str"/>
      <x:c r="E126" s="54" t="str">
        <x:v>RECONSTRUCTED</x:v>
      </x:c>
      <x:c r="F126" s="54" t="str">
        <x:v>MEDIUM</x:v>
      </x:c>
      <x:c r="G126" s="54" t="str">
        <x:v>QAR-ARMS</x:v>
      </x:c>
      <x:c r="H126" s="54" t="str">
        <x:v>EXPLOSIVE</x:v>
      </x:c>
      <x:c r="I126" s="54" t="str">
        <x:v>POWDER-HAZARD</x:v>
      </x:c>
      <x:c r="J126" s="65" t="str"/>
    </x:row>
    <x:row r="127">
      <x:c r="A127" s="54" t="str">
        <x:v>PKG-0002</x:v>
      </x:c>
      <x:c r="B127" s="54" t="str">
        <x:v>EA</x:v>
      </x:c>
      <x:c r="C127" s="64" t="n">
        <x:v>6</x:v>
      </x:c>
      <x:c r="D127" s="54" t="str"/>
      <x:c r="E127" s="54" t="str">
        <x:v>RECOVERED</x:v>
      </x:c>
      <x:c r="F127" s="54" t="str">
        <x:v>MEDIUM</x:v>
      </x:c>
      <x:c r="G127" s="54" t="str">
        <x:v>QAR-STOR</x:v>
      </x:c>
      <x:c r="H127" s="54" t="str"/>
      <x:c r="I127" s="54" t="str">
        <x:v>KIT-LABEL</x:v>
      </x:c>
      <x:c r="J127" s="65" t="str"/>
    </x:row>
    <x:row r="128">
      <x:c r="A128" s="54" t="str">
        <x:v>MAT-0004</x:v>
      </x:c>
      <x:c r="B128" s="54" t="str">
        <x:v>LB</x:v>
      </x:c>
      <x:c r="C128" s="64" t="n">
        <x:v>1</x:v>
      </x:c>
      <x:c r="D128" s="54" t="str"/>
      <x:c r="E128" s="54" t="str">
        <x:v>RECONSTRUCTED</x:v>
      </x:c>
      <x:c r="F128" s="54" t="str">
        <x:v>MEDIUM</x:v>
      </x:c>
      <x:c r="G128" s="54" t="str">
        <x:v>RECON</x:v>
      </x:c>
      <x:c r="H128" s="54" t="str">
        <x:v>EXPLOSIVE</x:v>
      </x:c>
      <x:c r="I128" s="54" t="str">
        <x:v>STORES-LABEL</x:v>
      </x:c>
      <x:c r="J128" s="65" t="str"/>
    </x:row>
    <x:row r="129">
      <x:c r="A129" s="54" t="str">
        <x:v>LBL-0004</x:v>
      </x:c>
      <x:c r="B129" s="54" t="str">
        <x:v>EA</x:v>
      </x:c>
      <x:c r="C129" s="64"/>
      <x:c r="D129" s="54" t="str"/>
      <x:c r="E129" s="54" t="str">
        <x:v>FICTIONAL</x:v>
      </x:c>
      <x:c r="F129" s="54" t="str">
        <x:v>N/A</x:v>
      </x:c>
      <x:c r="G129" s="54" t="str">
        <x:v>FICTION</x:v>
      </x:c>
      <x:c r="H129" s="54" t="str">
        <x:v>EXPLOSIVE</x:v>
      </x:c>
      <x:c r="I129" s="54" t="str">
        <x:v>POWDER-HAZARD</x:v>
      </x:c>
      <x:c r="J129" s="65" t="str"/>
    </x:row>
    <x:row r="130">
      <x:c r="A130" s="54" t="str">
        <x:v>KIT-0016</x:v>
      </x:c>
      <x:c r="B130" s="54" t="str">
        <x:v>EA</x:v>
      </x:c>
      <x:c r="C130" s="64"/>
      <x:c r="D130" s="54" t="str"/>
      <x:c r="E130" s="54" t="str">
        <x:v>RECONSTRUCTED</x:v>
      </x:c>
      <x:c r="F130" s="54" t="str">
        <x:v>MEDIUM</x:v>
      </x:c>
      <x:c r="G130" s="54" t="str">
        <x:v>RECON</x:v>
      </x:c>
      <x:c r="H130" s="54" t="str"/>
      <x:c r="I130" s="54" t="str">
        <x:v>KIT-LABEL</x:v>
      </x:c>
      <x:c r="J130" s="65" t="str"/>
    </x:row>
    <x:row r="131">
      <x:c r="A131" s="54" t="str">
        <x:v>ASM-0018</x:v>
      </x:c>
      <x:c r="B131" s="54" t="str">
        <x:v>EA</x:v>
      </x:c>
      <x:c r="C131" s="64" t="n">
        <x:v>6</x:v>
      </x:c>
      <x:c r="D131" s="54" t="str"/>
      <x:c r="E131" s="54" t="str">
        <x:v>RECONSTRUCTED</x:v>
      </x:c>
      <x:c r="F131" s="54" t="str">
        <x:v>MEDIUM</x:v>
      </x:c>
      <x:c r="G131" s="54" t="str">
        <x:v>RECON</x:v>
      </x:c>
      <x:c r="H131" s="54" t="str"/>
      <x:c r="I131" s="54" t="str">
        <x:v>KIT-LABEL</x:v>
      </x:c>
      <x:c r="J131" s="65" t="str"/>
    </x:row>
    <x:row r="132">
      <x:c r="A132" s="54" t="str">
        <x:v>PKG-0003</x:v>
      </x:c>
      <x:c r="B132" s="54" t="str">
        <x:v>EA</x:v>
      </x:c>
      <x:c r="C132" s="64" t="n">
        <x:v>8</x:v>
      </x:c>
      <x:c r="D132" s="54" t="str"/>
      <x:c r="E132" s="54" t="str">
        <x:v>RECONSTRUCTED</x:v>
      </x:c>
      <x:c r="F132" s="54" t="str">
        <x:v>MEDIUM</x:v>
      </x:c>
      <x:c r="G132" s="54" t="str">
        <x:v>RECON</x:v>
      </x:c>
      <x:c r="H132" s="54" t="str"/>
      <x:c r="I132" s="54" t="str">
        <x:v>KIT-LABEL</x:v>
      </x:c>
      <x:c r="J132" s="65" t="str"/>
    </x:row>
    <x:row r="133">
      <x:c r="A133" s="54" t="str">
        <x:v>PRT-0053</x:v>
      </x:c>
      <x:c r="B133" s="54" t="str">
        <x:v>EA</x:v>
      </x:c>
      <x:c r="C133" s="64" t="n">
        <x:v>3</x:v>
      </x:c>
      <x:c r="D133" s="54" t="str"/>
      <x:c r="E133" s="54" t="str">
        <x:v>RECOVERED</x:v>
      </x:c>
      <x:c r="F133" s="54" t="str">
        <x:v>MEDIUM</x:v>
      </x:c>
      <x:c r="G133" s="54" t="str">
        <x:v>QAR-TOOLS</x:v>
      </x:c>
      <x:c r="H133" s="54" t="str"/>
      <x:c r="I133" s="54" t="str">
        <x:v>PART-ID</x:v>
      </x:c>
      <x:c r="J133" s="65" t="str"/>
    </x:row>
    <x:row r="134">
      <x:c r="A134" s="54" t="str">
        <x:v>KIT-0017</x:v>
      </x:c>
      <x:c r="B134" s="54" t="str">
        <x:v>EA</x:v>
      </x:c>
      <x:c r="C134" s="64" t="n">
        <x:v>2</x:v>
      </x:c>
      <x:c r="D134" s="54" t="str"/>
      <x:c r="E134" s="54" t="str">
        <x:v>RECOVERED</x:v>
      </x:c>
      <x:c r="F134" s="54" t="str">
        <x:v>MEDIUM</x:v>
      </x:c>
      <x:c r="G134" s="54" t="str">
        <x:v>QAR-TOOLS</x:v>
      </x:c>
      <x:c r="H134" s="54" t="str"/>
      <x:c r="I134" s="54" t="str">
        <x:v>KIT-LABEL</x:v>
      </x:c>
      <x:c r="J134" s="65" t="str"/>
    </x:row>
    <x:row r="135">
      <x:c r="A135" s="54" t="str">
        <x:v>PRT-0054</x:v>
      </x:c>
      <x:c r="B135" s="54" t="str">
        <x:v>EA</x:v>
      </x:c>
      <x:c r="C135" s="64" t="n">
        <x:v>1</x:v>
      </x:c>
      <x:c r="D135" s="54" t="str"/>
      <x:c r="E135" s="54" t="str">
        <x:v>RECONSTRUCTED</x:v>
      </x:c>
      <x:c r="F135" s="54" t="str">
        <x:v>MEDIUM</x:v>
      </x:c>
      <x:c r="G135" s="54" t="str">
        <x:v>RECON</x:v>
      </x:c>
      <x:c r="H135" s="54" t="str"/>
      <x:c r="I135" s="54" t="str">
        <x:v>PART-ID</x:v>
      </x:c>
      <x:c r="J135" s="65" t="str"/>
    </x:row>
    <x:row r="136">
      <x:c r="A136" s="54" t="str">
        <x:v>PRT-0055</x:v>
      </x:c>
      <x:c r="B136" s="54" t="str">
        <x:v>EA</x:v>
      </x:c>
      <x:c r="C136" s="64" t="n">
        <x:v>1</x:v>
      </x:c>
      <x:c r="D136" s="54" t="str"/>
      <x:c r="E136" s="54" t="str">
        <x:v>RECONSTRUCTED</x:v>
      </x:c>
      <x:c r="F136" s="54" t="str">
        <x:v>MEDIUM</x:v>
      </x:c>
      <x:c r="G136" s="54" t="str">
        <x:v>RECON</x:v>
      </x:c>
      <x:c r="H136" s="54" t="str"/>
      <x:c r="I136" s="54" t="str">
        <x:v>PART-ID</x:v>
      </x:c>
      <x:c r="J136" s="65" t="str"/>
    </x:row>
    <x:row r="137">
      <x:c r="A137" s="54" t="str">
        <x:v>MAT-0005</x:v>
      </x:c>
      <x:c r="B137" s="54" t="str">
        <x:v>EA</x:v>
      </x:c>
      <x:c r="C137" s="64" t="n">
        <x:v>0.1</x:v>
      </x:c>
      <x:c r="D137" s="54" t="str"/>
      <x:c r="E137" s="54" t="str">
        <x:v>RECONSTRUCTED</x:v>
      </x:c>
      <x:c r="F137" s="54" t="str">
        <x:v>MEDIUM</x:v>
      </x:c>
      <x:c r="G137" s="54" t="str">
        <x:v>RECON</x:v>
      </x:c>
      <x:c r="H137" s="54" t="str">
        <x:v>EXPLOSIVE</x:v>
      </x:c>
      <x:c r="I137" s="54" t="str">
        <x:v>STORES-LABEL</x:v>
      </x:c>
      <x:c r="J137" s="65" t="str"/>
    </x:row>
    <x:row r="138">
      <x:c r="A138" s="54" t="str">
        <x:v>MAT-0006</x:v>
      </x:c>
      <x:c r="B138" s="54" t="str">
        <x:v>EA</x:v>
      </x:c>
      <x:c r="C138" s="64" t="n">
        <x:v>0.08</x:v>
      </x:c>
      <x:c r="D138" s="54" t="str"/>
      <x:c r="E138" s="54" t="str">
        <x:v>RECONSTRUCTED</x:v>
      </x:c>
      <x:c r="F138" s="54" t="str">
        <x:v>MEDIUM</x:v>
      </x:c>
      <x:c r="G138" s="54" t="str">
        <x:v>RECON</x:v>
      </x:c>
      <x:c r="H138" s="54" t="str">
        <x:v>EXPLOSIVE</x:v>
      </x:c>
      <x:c r="I138" s="54" t="str">
        <x:v>STORES-LABEL</x:v>
      </x:c>
      <x:c r="J138" s="65" t="str"/>
    </x:row>
    <x:row r="139">
      <x:c r="A139" s="54" t="str">
        <x:v>KIT-0018</x:v>
      </x:c>
      <x:c r="B139" s="54" t="str">
        <x:v>EA</x:v>
      </x:c>
      <x:c r="C139" s="64"/>
      <x:c r="D139" s="54" t="str"/>
      <x:c r="E139" s="54" t="str">
        <x:v>RECONSTRUCTED</x:v>
      </x:c>
      <x:c r="F139" s="54" t="str">
        <x:v>MEDIUM</x:v>
      </x:c>
      <x:c r="G139" s="54" t="str">
        <x:v>QAR-ARMS</x:v>
      </x:c>
      <x:c r="H139" s="54" t="str"/>
      <x:c r="I139" s="54" t="str">
        <x:v>KIT-LABEL</x:v>
      </x:c>
      <x:c r="J139" s="65" t="str"/>
    </x:row>
    <x:row r="140">
      <x:c r="A140" s="54" t="str">
        <x:v>KIT-0019</x:v>
      </x:c>
      <x:c r="B140" s="54" t="str">
        <x:v>EA</x:v>
      </x:c>
      <x:c r="C140" s="64"/>
      <x:c r="D140" s="54" t="str"/>
      <x:c r="E140" s="54" t="str">
        <x:v>RECONSTRUCTED</x:v>
      </x:c>
      <x:c r="F140" s="54" t="str">
        <x:v>MEDIUM</x:v>
      </x:c>
      <x:c r="G140" s="54" t="str">
        <x:v>QAR-ARMS</x:v>
      </x:c>
      <x:c r="H140" s="54" t="str"/>
      <x:c r="I140" s="54" t="str">
        <x:v>KIT-LABEL</x:v>
      </x:c>
      <x:c r="J140" s="65" t="str"/>
    </x:row>
    <x:row r="141">
      <x:c r="A141" s="54" t="str">
        <x:v>PRT-0056</x:v>
      </x:c>
      <x:c r="B141" s="54" t="str">
        <x:v>EA</x:v>
      </x:c>
      <x:c r="C141" s="64" t="n">
        <x:v>3</x:v>
      </x:c>
      <x:c r="D141" s="54" t="str"/>
      <x:c r="E141" s="54" t="str">
        <x:v>RECOVERED</x:v>
      </x:c>
      <x:c r="F141" s="54" t="str">
        <x:v>MEDIUM</x:v>
      </x:c>
      <x:c r="G141" s="54" t="str">
        <x:v>QAR-ARMS</x:v>
      </x:c>
      <x:c r="H141" s="54" t="str"/>
      <x:c r="I141" s="54" t="str">
        <x:v>PART-ID</x:v>
      </x:c>
      <x:c r="J141" s="65" t="str"/>
    </x:row>
    <x:row r="142">
      <x:c r="A142" s="54" t="str">
        <x:v>PRT-0057</x:v>
      </x:c>
      <x:c r="B142" s="54" t="str">
        <x:v>EA</x:v>
      </x:c>
      <x:c r="C142" s="64" t="n">
        <x:v>4.5</x:v>
      </x:c>
      <x:c r="D142" s="54" t="str"/>
      <x:c r="E142" s="54" t="str">
        <x:v>RECONSTRUCTED</x:v>
      </x:c>
      <x:c r="F142" s="54" t="str">
        <x:v>MEDIUM</x:v>
      </x:c>
      <x:c r="G142" s="54" t="str">
        <x:v>QAR-ARMS</x:v>
      </x:c>
      <x:c r="H142" s="54" t="str"/>
      <x:c r="I142" s="54" t="str">
        <x:v>PART-ID</x:v>
      </x:c>
      <x:c r="J142" s="65" t="str"/>
    </x:row>
    <x:row r="143">
      <x:c r="A143" s="54" t="str">
        <x:v>PRT-0058</x:v>
      </x:c>
      <x:c r="B143" s="54" t="str">
        <x:v>EA</x:v>
      </x:c>
      <x:c r="C143" s="64" t="n">
        <x:v>8</x:v>
      </x:c>
      <x:c r="D143" s="54" t="str"/>
      <x:c r="E143" s="54" t="str">
        <x:v>RECONSTRUCTED</x:v>
      </x:c>
      <x:c r="F143" s="54" t="str">
        <x:v>MEDIUM</x:v>
      </x:c>
      <x:c r="G143" s="54" t="str">
        <x:v>RECON</x:v>
      </x:c>
      <x:c r="H143" s="54" t="str"/>
      <x:c r="I143" s="54" t="str">
        <x:v>PART-ID</x:v>
      </x:c>
      <x:c r="J143" s="65" t="str"/>
    </x:row>
    <x:row r="144">
      <x:c r="A144" s="54" t="str">
        <x:v>ASM-0019</x:v>
      </x:c>
      <x:c r="B144" s="54" t="str">
        <x:v>EA</x:v>
      </x:c>
      <x:c r="C144" s="64" t="n">
        <x:v>3</x:v>
      </x:c>
      <x:c r="D144" s="54" t="str"/>
      <x:c r="E144" s="54" t="str">
        <x:v>RECOVERED</x:v>
      </x:c>
      <x:c r="F144" s="54" t="str">
        <x:v>MEDIUM</x:v>
      </x:c>
      <x:c r="G144" s="54" t="str">
        <x:v>QAR-ARMS</x:v>
      </x:c>
      <x:c r="H144" s="54" t="str">
        <x:v>EXPLOSIVE</x:v>
      </x:c>
      <x:c r="I144" s="54" t="str">
        <x:v>KIT-LABEL</x:v>
      </x:c>
      <x:c r="J144" s="65" t="str">
        <x:v>About two dozen hand grenades were recovered from the wreck site.</x:v>
      </x:c>
    </x:row>
    <x:row r="145">
      <x:c r="A145" s="54" t="str">
        <x:v>PRT-0059</x:v>
      </x:c>
      <x:c r="B145" s="54" t="str">
        <x:v>EA</x:v>
      </x:c>
      <x:c r="C145" s="64" t="n">
        <x:v>10</x:v>
      </x:c>
      <x:c r="D145" s="54" t="str"/>
      <x:c r="E145" s="54" t="str">
        <x:v>RECOVERED</x:v>
      </x:c>
      <x:c r="F145" s="54" t="str">
        <x:v>MEDIUM</x:v>
      </x:c>
      <x:c r="G145" s="54" t="str">
        <x:v>QAR-ARMS</x:v>
      </x:c>
      <x:c r="H145" s="54" t="str"/>
      <x:c r="I145" s="54" t="str">
        <x:v>PART-ID</x:v>
      </x:c>
      <x:c r="J145" s="65" t="str"/>
    </x:row>
    <x:row r="146">
      <x:c r="A146" s="54" t="str">
        <x:v>PRT-0060</x:v>
      </x:c>
      <x:c r="B146" s="54" t="str">
        <x:v>EA</x:v>
      </x:c>
      <x:c r="C146" s="64" t="n">
        <x:v>3</x:v>
      </x:c>
      <x:c r="D146" s="54" t="str"/>
      <x:c r="E146" s="54" t="str">
        <x:v>RECOVERED</x:v>
      </x:c>
      <x:c r="F146" s="54" t="str">
        <x:v>MEDIUM</x:v>
      </x:c>
      <x:c r="G146" s="54" t="str">
        <x:v>QAR-ARMS</x:v>
      </x:c>
      <x:c r="H146" s="54" t="str"/>
      <x:c r="I146" s="54" t="str">
        <x:v>PART-ID</x:v>
      </x:c>
      <x:c r="J146" s="65" t="str"/>
    </x:row>
    <x:row r="147">
      <x:c r="A147" s="54" t="str">
        <x:v>MAT-0007</x:v>
      </x:c>
      <x:c r="B147" s="54" t="str">
        <x:v>EA</x:v>
      </x:c>
      <x:c r="C147" s="64" t="n">
        <x:v>0.05</x:v>
      </x:c>
      <x:c r="D147" s="54" t="str"/>
      <x:c r="E147" s="54" t="str">
        <x:v>RECOVERED</x:v>
      </x:c>
      <x:c r="F147" s="54" t="str">
        <x:v>MEDIUM</x:v>
      </x:c>
      <x:c r="G147" s="54" t="str">
        <x:v>QAR-ARMS</x:v>
      </x:c>
      <x:c r="H147" s="54" t="str"/>
      <x:c r="I147" s="54" t="str">
        <x:v>STORES-LABEL</x:v>
      </x:c>
      <x:c r="J147" s="65" t="str"/>
    </x:row>
    <x:row r="148">
      <x:c r="A148" s="54" t="str">
        <x:v>MAT-0008</x:v>
      </x:c>
      <x:c r="B148" s="54" t="str">
        <x:v>EA</x:v>
      </x:c>
      <x:c r="C148" s="64" t="n">
        <x:v>0.08</x:v>
      </x:c>
      <x:c r="D148" s="54" t="str"/>
      <x:c r="E148" s="54" t="str">
        <x:v>RECOVERED</x:v>
      </x:c>
      <x:c r="F148" s="54" t="str">
        <x:v>MEDIUM</x:v>
      </x:c>
      <x:c r="G148" s="54" t="str">
        <x:v>QAR-ARMS</x:v>
      </x:c>
      <x:c r="H148" s="54" t="str"/>
      <x:c r="I148" s="54" t="str">
        <x:v>STORES-LABEL</x:v>
      </x:c>
      <x:c r="J148" s="65" t="str"/>
    </x:row>
    <x:row r="149">
      <x:c r="A149" s="54" t="str">
        <x:v>MAT-0009</x:v>
      </x:c>
      <x:c r="B149" s="54" t="str">
        <x:v>EA</x:v>
      </x:c>
      <x:c r="C149" s="64" t="n">
        <x:v>0.05</x:v>
      </x:c>
      <x:c r="D149" s="54" t="str"/>
      <x:c r="E149" s="54" t="str">
        <x:v>RECOVERED</x:v>
      </x:c>
      <x:c r="F149" s="54" t="str">
        <x:v>MEDIUM</x:v>
      </x:c>
      <x:c r="G149" s="54" t="str">
        <x:v>QAR-ARMS</x:v>
      </x:c>
      <x:c r="H149" s="54" t="str"/>
      <x:c r="I149" s="54" t="str">
        <x:v>STORES-LABEL</x:v>
      </x:c>
      <x:c r="J149" s="65" t="str"/>
    </x:row>
    <x:row r="150">
      <x:c r="A150" s="54" t="str">
        <x:v>PKG-0004</x:v>
      </x:c>
      <x:c r="B150" s="54" t="str">
        <x:v>EA</x:v>
      </x:c>
      <x:c r="C150" s="64" t="n">
        <x:v>2</x:v>
      </x:c>
      <x:c r="D150" s="54" t="str"/>
      <x:c r="E150" s="54" t="str">
        <x:v>RECONSTRUCTED</x:v>
      </x:c>
      <x:c r="F150" s="54" t="str">
        <x:v>MEDIUM</x:v>
      </x:c>
      <x:c r="G150" s="54" t="str">
        <x:v>RECON</x:v>
      </x:c>
      <x:c r="H150" s="54" t="str"/>
      <x:c r="I150" s="54" t="str">
        <x:v>KIT-LABEL</x:v>
      </x:c>
      <x:c r="J150" s="65" t="str"/>
    </x:row>
    <x:row r="151">
      <x:c r="A151" s="54" t="str">
        <x:v>PRT-0061</x:v>
      </x:c>
      <x:c r="B151" s="54" t="str">
        <x:v>EA</x:v>
      </x:c>
      <x:c r="C151" s="64" t="n">
        <x:v>0.5</x:v>
      </x:c>
      <x:c r="D151" s="54" t="str"/>
      <x:c r="E151" s="54" t="str">
        <x:v>RECONSTRUCTED</x:v>
      </x:c>
      <x:c r="F151" s="54" t="str">
        <x:v>MEDIUM</x:v>
      </x:c>
      <x:c r="G151" s="54" t="str">
        <x:v>QAR-ARMS</x:v>
      </x:c>
      <x:c r="H151" s="54" t="str"/>
      <x:c r="I151" s="54" t="str">
        <x:v>PART-ID</x:v>
      </x:c>
      <x:c r="J151" s="65" t="str"/>
    </x:row>
    <x:row r="152">
      <x:c r="A152" s="54" t="str">
        <x:v>PRT-0062</x:v>
      </x:c>
      <x:c r="B152" s="54" t="str">
        <x:v>EA</x:v>
      </x:c>
      <x:c r="C152" s="64" t="n">
        <x:v>1</x:v>
      </x:c>
      <x:c r="D152" s="54" t="str"/>
      <x:c r="E152" s="54" t="str">
        <x:v>RECOVERED</x:v>
      </x:c>
      <x:c r="F152" s="54" t="str">
        <x:v>MEDIUM</x:v>
      </x:c>
      <x:c r="G152" s="54" t="str">
        <x:v>QAR-ARMS</x:v>
      </x:c>
      <x:c r="H152" s="54" t="str"/>
      <x:c r="I152" s="54" t="str">
        <x:v>PART-ID</x:v>
      </x:c>
      <x:c r="J152" s="65" t="str"/>
    </x:row>
    <x:row r="153">
      <x:c r="A153" s="54" t="str">
        <x:v>QAR-0025</x:v>
      </x:c>
      <x:c r="B153" s="54" t="str">
        <x:v>EA</x:v>
      </x:c>
      <x:c r="C153" s="64"/>
      <x:c r="D153" s="54" t="str"/>
      <x:c r="E153" s="54" t="str">
        <x:v>RECONSTRUCTED</x:v>
      </x:c>
      <x:c r="F153" s="54" t="str">
        <x:v>MEDIUM</x:v>
      </x:c>
      <x:c r="G153" s="54" t="str">
        <x:v>RECON</x:v>
      </x:c>
      <x:c r="H153" s="54" t="str"/>
      <x:c r="I153" s="54" t="str">
        <x:v>KIT-LABEL</x:v>
      </x:c>
      <x:c r="J153" s="65" t="str"/>
    </x:row>
    <x:row r="154">
      <x:c r="A154" s="54" t="str">
        <x:v>OFT-0009</x:v>
      </x:c>
      <x:c r="B154" s="54" t="str">
        <x:v>EA</x:v>
      </x:c>
      <x:c r="C154" s="64"/>
      <x:c r="D154" s="54" t="str"/>
      <x:c r="E154" s="54" t="str">
        <x:v>RECONSTRUCTED</x:v>
      </x:c>
      <x:c r="F154" s="54" t="str">
        <x:v>MEDIUM</x:v>
      </x:c>
      <x:c r="G154" s="54" t="str">
        <x:v>RECON</x:v>
      </x:c>
      <x:c r="H154" s="54" t="str"/>
      <x:c r="I154" s="54" t="str">
        <x:v>KIT-LABEL</x:v>
      </x:c>
      <x:c r="J154" s="65" t="str"/>
    </x:row>
    <x:row r="155">
      <x:c r="A155" s="54" t="str">
        <x:v>OFT-0010</x:v>
      </x:c>
      <x:c r="B155" s="54" t="str">
        <x:v>EA</x:v>
      </x:c>
      <x:c r="C155" s="64"/>
      <x:c r="D155" s="54" t="str"/>
      <x:c r="E155" s="54" t="str">
        <x:v>RECONSTRUCTED</x:v>
      </x:c>
      <x:c r="F155" s="54" t="str">
        <x:v>MEDIUM</x:v>
      </x:c>
      <x:c r="G155" s="54" t="str">
        <x:v>RECON</x:v>
      </x:c>
      <x:c r="H155" s="54" t="str"/>
      <x:c r="I155" s="54" t="str">
        <x:v>KIT-LABEL</x:v>
      </x:c>
      <x:c r="J155" s="65" t="str"/>
    </x:row>
    <x:row r="156">
      <x:c r="A156" s="54" t="str">
        <x:v>QAR-0026</x:v>
      </x:c>
      <x:c r="B156" s="54" t="str">
        <x:v>EA</x:v>
      </x:c>
      <x:c r="C156" s="64"/>
      <x:c r="D156" s="54" t="str"/>
      <x:c r="E156" s="54" t="str">
        <x:v>RECONSTRUCTED</x:v>
      </x:c>
      <x:c r="F156" s="54" t="str">
        <x:v>MEDIUM</x:v>
      </x:c>
      <x:c r="G156" s="54" t="str">
        <x:v>RECON</x:v>
      </x:c>
      <x:c r="H156" s="54" t="str"/>
      <x:c r="I156" s="54" t="str">
        <x:v>KIT-LABEL</x:v>
      </x:c>
      <x:c r="J156" s="65" t="str"/>
    </x:row>
    <x:row r="157">
      <x:c r="A157" s="54" t="str">
        <x:v>OFT-0011</x:v>
      </x:c>
      <x:c r="B157" s="54" t="str">
        <x:v>EA</x:v>
      </x:c>
      <x:c r="C157" s="64"/>
      <x:c r="D157" s="54" t="str"/>
      <x:c r="E157" s="54" t="str">
        <x:v>RECONSTRUCTED</x:v>
      </x:c>
      <x:c r="F157" s="54" t="str">
        <x:v>MEDIUM</x:v>
      </x:c>
      <x:c r="G157" s="54" t="str">
        <x:v>RECON</x:v>
      </x:c>
      <x:c r="H157" s="54" t="str"/>
      <x:c r="I157" s="54" t="str">
        <x:v>KIT-LABEL</x:v>
      </x:c>
      <x:c r="J157" s="65" t="str"/>
    </x:row>
    <x:row r="158">
      <x:c r="A158" s="54" t="str">
        <x:v>QAR-0027</x:v>
      </x:c>
      <x:c r="B158" s="54" t="str">
        <x:v>EA</x:v>
      </x:c>
      <x:c r="C158" s="64"/>
      <x:c r="D158" s="54" t="str"/>
      <x:c r="E158" s="54" t="str">
        <x:v>RECONSTRUCTED</x:v>
      </x:c>
      <x:c r="F158" s="54" t="str">
        <x:v>MEDIUM</x:v>
      </x:c>
      <x:c r="G158" s="54" t="str">
        <x:v>RECON</x:v>
      </x:c>
      <x:c r="H158" s="54" t="str"/>
      <x:c r="I158" s="54" t="str">
        <x:v>KIT-LABEL</x:v>
      </x:c>
      <x:c r="J158" s="65" t="str"/>
    </x:row>
    <x:row r="159">
      <x:c r="A159" s="54" t="str">
        <x:v>QAR-0028</x:v>
      </x:c>
      <x:c r="B159" s="54" t="str">
        <x:v>EA</x:v>
      </x:c>
      <x:c r="C159" s="64"/>
      <x:c r="D159" s="54" t="str"/>
      <x:c r="E159" s="54" t="str">
        <x:v>RECONSTRUCTED</x:v>
      </x:c>
      <x:c r="F159" s="54" t="str">
        <x:v>MEDIUM</x:v>
      </x:c>
      <x:c r="G159" s="54" t="str">
        <x:v>RECON</x:v>
      </x:c>
      <x:c r="H159" s="54" t="str"/>
      <x:c r="I159" s="54" t="str">
        <x:v>KIT-LABEL</x:v>
      </x:c>
      <x:c r="J159" s="65" t="str"/>
    </x:row>
    <x:row r="160">
      <x:c r="A160" s="54" t="str">
        <x:v>QAR-0029</x:v>
      </x:c>
      <x:c r="B160" s="54" t="str">
        <x:v>EA</x:v>
      </x:c>
      <x:c r="C160" s="64"/>
      <x:c r="D160" s="54" t="str"/>
      <x:c r="E160" s="54" t="str">
        <x:v>RECONSTRUCTED</x:v>
      </x:c>
      <x:c r="F160" s="54" t="str">
        <x:v>MEDIUM</x:v>
      </x:c>
      <x:c r="G160" s="54" t="str">
        <x:v>RECON</x:v>
      </x:c>
      <x:c r="H160" s="54" t="str"/>
      <x:c r="I160" s="54" t="str">
        <x:v>KIT-LABEL</x:v>
      </x:c>
      <x:c r="J160" s="65" t="str"/>
    </x:row>
    <x:row r="161">
      <x:c r="A161" s="54" t="str">
        <x:v>QAR-0030</x:v>
      </x:c>
      <x:c r="B161" s="54" t="str">
        <x:v>EA</x:v>
      </x:c>
      <x:c r="C161" s="64"/>
      <x:c r="D161" s="54" t="str"/>
      <x:c r="E161" s="54" t="str">
        <x:v>RECONSTRUCTED</x:v>
      </x:c>
      <x:c r="F161" s="54" t="str">
        <x:v>MEDIUM</x:v>
      </x:c>
      <x:c r="G161" s="54" t="str">
        <x:v>RECON</x:v>
      </x:c>
      <x:c r="H161" s="54" t="str"/>
      <x:c r="I161" s="54" t="str">
        <x:v>KIT-LABEL</x:v>
      </x:c>
      <x:c r="J161" s="65" t="str"/>
    </x:row>
    <x:row r="162">
      <x:c r="A162" s="54" t="str">
        <x:v>QAR-0031</x:v>
      </x:c>
      <x:c r="B162" s="54" t="str">
        <x:v>EA</x:v>
      </x:c>
      <x:c r="C162" s="64"/>
      <x:c r="D162" s="54" t="str"/>
      <x:c r="E162" s="54" t="str">
        <x:v>RECONSTRUCTED</x:v>
      </x:c>
      <x:c r="F162" s="54" t="str">
        <x:v>MEDIUM</x:v>
      </x:c>
      <x:c r="G162" s="54" t="str">
        <x:v>RECON</x:v>
      </x:c>
      <x:c r="H162" s="54" t="str"/>
      <x:c r="I162" s="54" t="str">
        <x:v>PART-ID</x:v>
      </x:c>
      <x:c r="J162" s="65" t="str"/>
    </x:row>
    <x:row r="163">
      <x:c r="A163" s="54" t="str">
        <x:v>QAR-0032</x:v>
      </x:c>
      <x:c r="B163" s="54" t="str">
        <x:v>EA</x:v>
      </x:c>
      <x:c r="C163" s="64"/>
      <x:c r="D163" s="54" t="str"/>
      <x:c r="E163" s="54" t="str">
        <x:v>RECONSTRUCTED</x:v>
      </x:c>
      <x:c r="F163" s="54" t="str">
        <x:v>MEDIUM</x:v>
      </x:c>
      <x:c r="G163" s="54" t="str">
        <x:v>RECON</x:v>
      </x:c>
      <x:c r="H163" s="54" t="str"/>
      <x:c r="I163" s="54" t="str">
        <x:v>PART-ID</x:v>
      </x:c>
      <x:c r="J163" s="65" t="str"/>
    </x:row>
    <x:row r="164">
      <x:c r="A164" s="54" t="str">
        <x:v>QAR-0033</x:v>
      </x:c>
      <x:c r="B164" s="54" t="str">
        <x:v>EA</x:v>
      </x:c>
      <x:c r="C164" s="64"/>
      <x:c r="D164" s="54" t="str"/>
      <x:c r="E164" s="54" t="str">
        <x:v>RECONSTRUCTED</x:v>
      </x:c>
      <x:c r="F164" s="54" t="str">
        <x:v>MEDIUM</x:v>
      </x:c>
      <x:c r="G164" s="54" t="str">
        <x:v>RECON</x:v>
      </x:c>
      <x:c r="H164" s="54" t="str"/>
      <x:c r="I164" s="54" t="str">
        <x:v>PART-ID</x:v>
      </x:c>
      <x:c r="J164" s="65" t="str"/>
    </x:row>
    <x:row r="165">
      <x:c r="A165" s="54" t="str">
        <x:v>QAR-0034</x:v>
      </x:c>
      <x:c r="B165" s="54" t="str">
        <x:v>EA</x:v>
      </x:c>
      <x:c r="C165" s="64"/>
      <x:c r="D165" s="54" t="str"/>
      <x:c r="E165" s="54" t="str">
        <x:v>RECONSTRUCTED</x:v>
      </x:c>
      <x:c r="F165" s="54" t="str">
        <x:v>MEDIUM</x:v>
      </x:c>
      <x:c r="G165" s="54" t="str">
        <x:v>RECON</x:v>
      </x:c>
      <x:c r="H165" s="54" t="str"/>
      <x:c r="I165" s="54" t="str">
        <x:v>PART-ID</x:v>
      </x:c>
      <x:c r="J165" s="65" t="str"/>
    </x:row>
    <x:row r="166">
      <x:c r="A166" s="54" t="str">
        <x:v>QAR-0035</x:v>
      </x:c>
      <x:c r="B166" s="54" t="str">
        <x:v>EA</x:v>
      </x:c>
      <x:c r="C166" s="64"/>
      <x:c r="D166" s="54" t="str"/>
      <x:c r="E166" s="54" t="str">
        <x:v>RECONSTRUCTED</x:v>
      </x:c>
      <x:c r="F166" s="54" t="str">
        <x:v>MEDIUM</x:v>
      </x:c>
      <x:c r="G166" s="54" t="str">
        <x:v>RECON</x:v>
      </x:c>
      <x:c r="H166" s="54" t="str"/>
      <x:c r="I166" s="54" t="str">
        <x:v>PART-ID</x:v>
      </x:c>
      <x:c r="J166" s="65" t="str"/>
    </x:row>
    <x:row r="167">
      <x:c r="A167" s="54" t="str">
        <x:v>QAR-0036</x:v>
      </x:c>
      <x:c r="B167" s="54" t="str">
        <x:v>EA</x:v>
      </x:c>
      <x:c r="C167" s="64"/>
      <x:c r="D167" s="54" t="str"/>
      <x:c r="E167" s="54" t="str">
        <x:v>RECONSTRUCTED</x:v>
      </x:c>
      <x:c r="F167" s="54" t="str">
        <x:v>MEDIUM</x:v>
      </x:c>
      <x:c r="G167" s="54" t="str">
        <x:v>RECON</x:v>
      </x:c>
      <x:c r="H167" s="54" t="str"/>
      <x:c r="I167" s="54" t="str">
        <x:v>PART-ID</x:v>
      </x:c>
      <x:c r="J167" s="65" t="str"/>
    </x:row>
    <x:row r="168">
      <x:c r="A168" s="54" t="str">
        <x:v>QAR-0037</x:v>
      </x:c>
      <x:c r="B168" s="54" t="str">
        <x:v>EA</x:v>
      </x:c>
      <x:c r="C168" s="64"/>
      <x:c r="D168" s="54" t="str"/>
      <x:c r="E168" s="54" t="str">
        <x:v>RECONSTRUCTED</x:v>
      </x:c>
      <x:c r="F168" s="54" t="str">
        <x:v>MEDIUM</x:v>
      </x:c>
      <x:c r="G168" s="54" t="str">
        <x:v>RECON</x:v>
      </x:c>
      <x:c r="H168" s="54" t="str"/>
      <x:c r="I168" s="54" t="str">
        <x:v>PART-ID</x:v>
      </x:c>
      <x:c r="J168" s="65" t="str"/>
    </x:row>
    <x:row r="169">
      <x:c r="A169" s="54" t="str">
        <x:v>QAR-0038</x:v>
      </x:c>
      <x:c r="B169" s="54" t="str">
        <x:v>EA</x:v>
      </x:c>
      <x:c r="C169" s="64"/>
      <x:c r="D169" s="54" t="str"/>
      <x:c r="E169" s="54" t="str">
        <x:v>RECONSTRUCTED</x:v>
      </x:c>
      <x:c r="F169" s="54" t="str">
        <x:v>MEDIUM</x:v>
      </x:c>
      <x:c r="G169" s="54" t="str">
        <x:v>RECON</x:v>
      </x:c>
      <x:c r="H169" s="54" t="str"/>
      <x:c r="I169" s="54" t="str">
        <x:v>PART-ID</x:v>
      </x:c>
      <x:c r="J169" s="65" t="str"/>
    </x:row>
    <x:row r="170">
      <x:c r="A170" s="54" t="str">
        <x:v>ASM-0020</x:v>
      </x:c>
      <x:c r="B170" s="54" t="str">
        <x:v>EA</x:v>
      </x:c>
      <x:c r="C170" s="64"/>
      <x:c r="D170" s="54" t="str"/>
      <x:c r="E170" s="54" t="str">
        <x:v>RECONSTRUCTED</x:v>
      </x:c>
      <x:c r="F170" s="54" t="str">
        <x:v>MEDIUM</x:v>
      </x:c>
      <x:c r="G170" s="54" t="str">
        <x:v>RECON</x:v>
      </x:c>
      <x:c r="H170" s="54" t="str"/>
      <x:c r="I170" s="54" t="str">
        <x:v>KIT-LABEL</x:v>
      </x:c>
      <x:c r="J170" s="65" t="str"/>
    </x:row>
    <x:row r="171">
      <x:c r="A171" s="54" t="str">
        <x:v>ASM-0021</x:v>
      </x:c>
      <x:c r="B171" s="54" t="str">
        <x:v>EA</x:v>
      </x:c>
      <x:c r="C171" s="64"/>
      <x:c r="D171" s="54" t="str"/>
      <x:c r="E171" s="54" t="str">
        <x:v>RECONSTRUCTED</x:v>
      </x:c>
      <x:c r="F171" s="54" t="str">
        <x:v>MEDIUM</x:v>
      </x:c>
      <x:c r="G171" s="54" t="str">
        <x:v>RECON</x:v>
      </x:c>
      <x:c r="H171" s="54" t="str"/>
      <x:c r="I171" s="54" t="str">
        <x:v>KIT-LABEL</x:v>
      </x:c>
      <x:c r="J171" s="65" t="str"/>
    </x:row>
    <x:row r="172">
      <x:c r="A172" s="54" t="str">
        <x:v>ASM-0022</x:v>
      </x:c>
      <x:c r="B172" s="54" t="str">
        <x:v>EA</x:v>
      </x:c>
      <x:c r="C172" s="64"/>
      <x:c r="D172" s="54" t="str"/>
      <x:c r="E172" s="54" t="str">
        <x:v>RECONSTRUCTED</x:v>
      </x:c>
      <x:c r="F172" s="54" t="str">
        <x:v>MEDIUM</x:v>
      </x:c>
      <x:c r="G172" s="54" t="str">
        <x:v>RECON</x:v>
      </x:c>
      <x:c r="H172" s="54" t="str"/>
      <x:c r="I172" s="54" t="str">
        <x:v>KIT-LABEL</x:v>
      </x:c>
      <x:c r="J172" s="65" t="str"/>
    </x:row>
    <x:row r="173">
      <x:c r="A173" s="54" t="str">
        <x:v>PRT-0063</x:v>
      </x:c>
      <x:c r="B173" s="54" t="str">
        <x:v>EA</x:v>
      </x:c>
      <x:c r="C173" s="64"/>
      <x:c r="D173" s="54" t="str"/>
      <x:c r="E173" s="54" t="str">
        <x:v>RECONSTRUCTED</x:v>
      </x:c>
      <x:c r="F173" s="54" t="str">
        <x:v>MEDIUM</x:v>
      </x:c>
      <x:c r="G173" s="54" t="str">
        <x:v>RECON</x:v>
      </x:c>
      <x:c r="H173" s="54" t="str"/>
      <x:c r="I173" s="54" t="str">
        <x:v>PART-ID</x:v>
      </x:c>
      <x:c r="J173" s="65" t="str"/>
    </x:row>
    <x:row r="174">
      <x:c r="A174" s="54" t="str">
        <x:v>PRT-0064</x:v>
      </x:c>
      <x:c r="B174" s="54" t="str">
        <x:v>EA</x:v>
      </x:c>
      <x:c r="C174" s="64"/>
      <x:c r="D174" s="54" t="str"/>
      <x:c r="E174" s="54" t="str">
        <x:v>RECONSTRUCTED</x:v>
      </x:c>
      <x:c r="F174" s="54" t="str">
        <x:v>MEDIUM</x:v>
      </x:c>
      <x:c r="G174" s="54" t="str">
        <x:v>RECON</x:v>
      </x:c>
      <x:c r="H174" s="54" t="str"/>
      <x:c r="I174" s="54" t="str">
        <x:v>PART-ID</x:v>
      </x:c>
      <x:c r="J174" s="65" t="str"/>
    </x:row>
    <x:row r="175">
      <x:c r="A175" s="54" t="str">
        <x:v>PRT-0065</x:v>
      </x:c>
      <x:c r="B175" s="54" t="str">
        <x:v>EA</x:v>
      </x:c>
      <x:c r="C175" s="64"/>
      <x:c r="D175" s="54" t="str"/>
      <x:c r="E175" s="54" t="str">
        <x:v>RECONSTRUCTED</x:v>
      </x:c>
      <x:c r="F175" s="54" t="str">
        <x:v>MEDIUM</x:v>
      </x:c>
      <x:c r="G175" s="54" t="str">
        <x:v>RECON</x:v>
      </x:c>
      <x:c r="H175" s="54" t="str"/>
      <x:c r="I175" s="54" t="str">
        <x:v>PART-ID</x:v>
      </x:c>
      <x:c r="J175" s="65" t="str"/>
    </x:row>
    <x:row r="176">
      <x:c r="A176" s="54" t="str">
        <x:v>PRT-0066</x:v>
      </x:c>
      <x:c r="B176" s="54" t="str">
        <x:v>EA</x:v>
      </x:c>
      <x:c r="C176" s="64"/>
      <x:c r="D176" s="54" t="str"/>
      <x:c r="E176" s="54" t="str">
        <x:v>RECONSTRUCTED</x:v>
      </x:c>
      <x:c r="F176" s="54" t="str">
        <x:v>MEDIUM</x:v>
      </x:c>
      <x:c r="G176" s="54" t="str">
        <x:v>RECON</x:v>
      </x:c>
      <x:c r="H176" s="54" t="str"/>
      <x:c r="I176" s="54" t="str">
        <x:v>PART-ID</x:v>
      </x:c>
      <x:c r="J176" s="65" t="str"/>
    </x:row>
    <x:row r="177">
      <x:c r="A177" s="54" t="str">
        <x:v>PRT-0067</x:v>
      </x:c>
      <x:c r="B177" s="54" t="str">
        <x:v>COIL</x:v>
      </x:c>
      <x:c r="C177" s="64" t="n">
        <x:v>22</x:v>
      </x:c>
      <x:c r="D177" s="54" t="str"/>
      <x:c r="E177" s="54" t="str">
        <x:v>RECONSTRUCTED</x:v>
      </x:c>
      <x:c r="F177" s="54" t="str">
        <x:v>MEDIUM</x:v>
      </x:c>
      <x:c r="G177" s="54" t="str">
        <x:v>RECON</x:v>
      </x:c>
      <x:c r="H177" s="54" t="str"/>
      <x:c r="I177" s="54" t="str">
        <x:v>PART-ID</x:v>
      </x:c>
      <x:c r="J177" s="65" t="str"/>
    </x:row>
    <x:row r="178">
      <x:c r="A178" s="54" t="str">
        <x:v>PRT-0068</x:v>
      </x:c>
      <x:c r="B178" s="54" t="str">
        <x:v>EA</x:v>
      </x:c>
      <x:c r="C178" s="64" t="n">
        <x:v>14</x:v>
      </x:c>
      <x:c r="D178" s="54" t="str"/>
      <x:c r="E178" s="54" t="str">
        <x:v>RECONSTRUCTED</x:v>
      </x:c>
      <x:c r="F178" s="54" t="str">
        <x:v>MEDIUM</x:v>
      </x:c>
      <x:c r="G178" s="54" t="str">
        <x:v>RECON</x:v>
      </x:c>
      <x:c r="H178" s="54" t="str"/>
      <x:c r="I178" s="54" t="str">
        <x:v>PART-ID</x:v>
      </x:c>
      <x:c r="J178" s="65" t="str"/>
    </x:row>
    <x:row r="179">
      <x:c r="A179" s="54" t="str">
        <x:v>PRT-0069</x:v>
      </x:c>
      <x:c r="B179" s="54" t="str">
        <x:v>EA</x:v>
      </x:c>
      <x:c r="C179" s="64" t="n">
        <x:v>9</x:v>
      </x:c>
      <x:c r="D179" s="54" t="str"/>
      <x:c r="E179" s="54" t="str">
        <x:v>RECONSTRUCTED</x:v>
      </x:c>
      <x:c r="F179" s="54" t="str">
        <x:v>MEDIUM</x:v>
      </x:c>
      <x:c r="G179" s="54" t="str">
        <x:v>RECON</x:v>
      </x:c>
      <x:c r="H179" s="54" t="str"/>
      <x:c r="I179" s="54" t="str">
        <x:v>PART-ID</x:v>
      </x:c>
      <x:c r="J179" s="65" t="str"/>
    </x:row>
    <x:row r="180">
      <x:c r="A180" s="54" t="str">
        <x:v>PRT-0070</x:v>
      </x:c>
      <x:c r="B180" s="54" t="str">
        <x:v>EA</x:v>
      </x:c>
      <x:c r="C180" s="64" t="n">
        <x:v>8</x:v>
      </x:c>
      <x:c r="D180" s="54" t="str"/>
      <x:c r="E180" s="54" t="str">
        <x:v>RECONSTRUCTED</x:v>
      </x:c>
      <x:c r="F180" s="54" t="str">
        <x:v>MEDIUM</x:v>
      </x:c>
      <x:c r="G180" s="54" t="str">
        <x:v>RECON</x:v>
      </x:c>
      <x:c r="H180" s="54" t="str"/>
      <x:c r="I180" s="54" t="str">
        <x:v>PART-ID</x:v>
      </x:c>
      <x:c r="J180" s="65" t="str"/>
    </x:row>
    <x:row r="181">
      <x:c r="A181" s="54" t="str">
        <x:v>PRT-0071</x:v>
      </x:c>
      <x:c r="B181" s="54" t="str">
        <x:v>EA</x:v>
      </x:c>
      <x:c r="C181" s="64" t="n">
        <x:v>18</x:v>
      </x:c>
      <x:c r="D181" s="54" t="str"/>
      <x:c r="E181" s="54" t="str">
        <x:v>RECONSTRUCTED</x:v>
      </x:c>
      <x:c r="F181" s="54" t="str">
        <x:v>MEDIUM</x:v>
      </x:c>
      <x:c r="G181" s="54" t="str">
        <x:v>RECON</x:v>
      </x:c>
      <x:c r="H181" s="54" t="str"/>
      <x:c r="I181" s="54" t="str">
        <x:v>PART-ID</x:v>
      </x:c>
      <x:c r="J181" s="65" t="str"/>
    </x:row>
    <x:row r="182">
      <x:c r="A182" s="54" t="str">
        <x:v>PRT-0072</x:v>
      </x:c>
      <x:c r="B182" s="54" t="str">
        <x:v>EA</x:v>
      </x:c>
      <x:c r="C182" s="64" t="n">
        <x:v>55</x:v>
      </x:c>
      <x:c r="D182" s="54" t="str"/>
      <x:c r="E182" s="54" t="str">
        <x:v>RECONSTRUCTED</x:v>
      </x:c>
      <x:c r="F182" s="54" t="str">
        <x:v>MEDIUM</x:v>
      </x:c>
      <x:c r="G182" s="54" t="str">
        <x:v>RECON</x:v>
      </x:c>
      <x:c r="H182" s="54" t="str"/>
      <x:c r="I182" s="54" t="str">
        <x:v>PART-ID</x:v>
      </x:c>
      <x:c r="J182" s="65" t="str"/>
    </x:row>
    <x:row r="183">
      <x:c r="A183" s="54" t="str">
        <x:v>PRT-0073</x:v>
      </x:c>
      <x:c r="B183" s="54" t="str">
        <x:v>EA</x:v>
      </x:c>
      <x:c r="C183" s="64" t="n">
        <x:v>34</x:v>
      </x:c>
      <x:c r="D183" s="54" t="str"/>
      <x:c r="E183" s="54" t="str">
        <x:v>RECONSTRUCTED</x:v>
      </x:c>
      <x:c r="F183" s="54" t="str">
        <x:v>MEDIUM</x:v>
      </x:c>
      <x:c r="G183" s="54" t="str">
        <x:v>RECON</x:v>
      </x:c>
      <x:c r="H183" s="54" t="str"/>
      <x:c r="I183" s="54" t="str">
        <x:v>PART-ID</x:v>
      </x:c>
      <x:c r="J183" s="65" t="str"/>
    </x:row>
    <x:row r="184">
      <x:c r="A184" s="54" t="str">
        <x:v>PRT-0074</x:v>
      </x:c>
      <x:c r="B184" s="54" t="str">
        <x:v>EA</x:v>
      </x:c>
      <x:c r="C184" s="64" t="n">
        <x:v>42</x:v>
      </x:c>
      <x:c r="D184" s="54" t="str"/>
      <x:c r="E184" s="54" t="str">
        <x:v>RECONSTRUCTED</x:v>
      </x:c>
      <x:c r="F184" s="54" t="str">
        <x:v>MEDIUM</x:v>
      </x:c>
      <x:c r="G184" s="54" t="str">
        <x:v>RECON</x:v>
      </x:c>
      <x:c r="H184" s="54" t="str"/>
      <x:c r="I184" s="54" t="str">
        <x:v>PART-ID</x:v>
      </x:c>
      <x:c r="J184" s="65" t="str"/>
    </x:row>
    <x:row r="185">
      <x:c r="A185" s="54" t="str">
        <x:v>PRT-0075</x:v>
      </x:c>
      <x:c r="B185" s="54" t="str">
        <x:v>EA</x:v>
      </x:c>
      <x:c r="C185" s="64" t="n">
        <x:v>28</x:v>
      </x:c>
      <x:c r="D185" s="54" t="str"/>
      <x:c r="E185" s="54" t="str">
        <x:v>RECONSTRUCTED</x:v>
      </x:c>
      <x:c r="F185" s="54" t="str">
        <x:v>MEDIUM</x:v>
      </x:c>
      <x:c r="G185" s="54" t="str">
        <x:v>RECON</x:v>
      </x:c>
      <x:c r="H185" s="54" t="str"/>
      <x:c r="I185" s="54" t="str">
        <x:v>PART-ID</x:v>
      </x:c>
      <x:c r="J185" s="65" t="str"/>
    </x:row>
    <x:row r="186">
      <x:c r="A186" s="54" t="str">
        <x:v>PRT-0076</x:v>
      </x:c>
      <x:c r="B186" s="54" t="str">
        <x:v>EA</x:v>
      </x:c>
      <x:c r="C186" s="64" t="n">
        <x:v>26</x:v>
      </x:c>
      <x:c r="D186" s="54" t="str"/>
      <x:c r="E186" s="54" t="str">
        <x:v>RECONSTRUCTED</x:v>
      </x:c>
      <x:c r="F186" s="54" t="str">
        <x:v>MEDIUM</x:v>
      </x:c>
      <x:c r="G186" s="54" t="str">
        <x:v>RECON</x:v>
      </x:c>
      <x:c r="H186" s="54" t="str"/>
      <x:c r="I186" s="54" t="str">
        <x:v>PART-ID</x:v>
      </x:c>
      <x:c r="J186" s="65" t="str"/>
    </x:row>
    <x:row r="187">
      <x:c r="A187" s="54" t="str">
        <x:v>PRT-0077</x:v>
      </x:c>
      <x:c r="B187" s="54" t="str">
        <x:v>EA</x:v>
      </x:c>
      <x:c r="C187" s="64" t="n">
        <x:v>20</x:v>
      </x:c>
      <x:c r="D187" s="54" t="str"/>
      <x:c r="E187" s="54" t="str">
        <x:v>RECONSTRUCTED</x:v>
      </x:c>
      <x:c r="F187" s="54" t="str">
        <x:v>MEDIUM</x:v>
      </x:c>
      <x:c r="G187" s="54" t="str">
        <x:v>RECON</x:v>
      </x:c>
      <x:c r="H187" s="54" t="str"/>
      <x:c r="I187" s="54" t="str">
        <x:v>PART-ID</x:v>
      </x:c>
      <x:c r="J187" s="65" t="str"/>
    </x:row>
    <x:row r="188">
      <x:c r="A188" s="54" t="str">
        <x:v>PRT-0078</x:v>
      </x:c>
      <x:c r="B188" s="54" t="str">
        <x:v>EA</x:v>
      </x:c>
      <x:c r="C188" s="64" t="n">
        <x:v>12</x:v>
      </x:c>
      <x:c r="D188" s="54" t="str"/>
      <x:c r="E188" s="54" t="str">
        <x:v>RECONSTRUCTED</x:v>
      </x:c>
      <x:c r="F188" s="54" t="str">
        <x:v>MEDIUM</x:v>
      </x:c>
      <x:c r="G188" s="54" t="str">
        <x:v>RECON</x:v>
      </x:c>
      <x:c r="H188" s="54" t="str"/>
      <x:c r="I188" s="54" t="str">
        <x:v>PART-ID</x:v>
      </x:c>
      <x:c r="J188" s="65" t="str"/>
    </x:row>
    <x:row r="189">
      <x:c r="A189" s="54" t="str">
        <x:v>PRT-0079</x:v>
      </x:c>
      <x:c r="B189" s="54" t="str">
        <x:v>EA</x:v>
      </x:c>
      <x:c r="C189" s="64" t="n">
        <x:v>10</x:v>
      </x:c>
      <x:c r="D189" s="54" t="str"/>
      <x:c r="E189" s="54" t="str">
        <x:v>RECONSTRUCTED</x:v>
      </x:c>
      <x:c r="F189" s="54" t="str">
        <x:v>MEDIUM</x:v>
      </x:c>
      <x:c r="G189" s="54" t="str">
        <x:v>RECON</x:v>
      </x:c>
      <x:c r="H189" s="54" t="str"/>
      <x:c r="I189" s="54" t="str">
        <x:v>PART-ID</x:v>
      </x:c>
      <x:c r="J189" s="65" t="str"/>
    </x:row>
    <x:row r="190">
      <x:c r="A190" s="54" t="str">
        <x:v>PRT-0080</x:v>
      </x:c>
      <x:c r="B190" s="54" t="str">
        <x:v>EA</x:v>
      </x:c>
      <x:c r="C190" s="64" t="n">
        <x:v>24</x:v>
      </x:c>
      <x:c r="D190" s="54" t="str"/>
      <x:c r="E190" s="54" t="str">
        <x:v>RECONSTRUCTED</x:v>
      </x:c>
      <x:c r="F190" s="54" t="str">
        <x:v>MEDIUM</x:v>
      </x:c>
      <x:c r="G190" s="54" t="str">
        <x:v>RECON</x:v>
      </x:c>
      <x:c r="H190" s="54" t="str"/>
      <x:c r="I190" s="54" t="str">
        <x:v>PART-ID</x:v>
      </x:c>
      <x:c r="J190" s="65" t="str"/>
    </x:row>
    <x:row r="191">
      <x:c r="A191" s="54" t="str">
        <x:v>QAR-0039</x:v>
      </x:c>
      <x:c r="B191" s="54" t="str">
        <x:v>EA</x:v>
      </x:c>
      <x:c r="C191" s="64" t="n">
        <x:v>450</x:v>
      </x:c>
      <x:c r="D191" s="54" t="str"/>
      <x:c r="E191" s="54" t="str">
        <x:v>RECONSTRUCTED</x:v>
      </x:c>
      <x:c r="F191" s="54" t="str">
        <x:v>MEDIUM</x:v>
      </x:c>
      <x:c r="G191" s="54" t="str">
        <x:v>RECON</x:v>
      </x:c>
      <x:c r="H191" s="54" t="str"/>
      <x:c r="I191" s="54" t="str">
        <x:v>KIT-LABEL</x:v>
      </x:c>
      <x:c r="J191" s="65" t="str"/>
    </x:row>
    <x:row r="192">
      <x:c r="A192" s="54" t="str">
        <x:v>QAR-0040</x:v>
      </x:c>
      <x:c r="B192" s="54" t="str">
        <x:v>EA</x:v>
      </x:c>
      <x:c r="C192" s="64" t="n">
        <x:v>280</x:v>
      </x:c>
      <x:c r="D192" s="54" t="str"/>
      <x:c r="E192" s="54" t="str">
        <x:v>RECONSTRUCTED</x:v>
      </x:c>
      <x:c r="F192" s="54" t="str">
        <x:v>MEDIUM</x:v>
      </x:c>
      <x:c r="G192" s="54" t="str">
        <x:v>RECON</x:v>
      </x:c>
      <x:c r="H192" s="54" t="str"/>
      <x:c r="I192" s="54" t="str">
        <x:v>KIT-LABEL</x:v>
      </x:c>
      <x:c r="J192" s="65" t="str"/>
    </x:row>
    <x:row r="193">
      <x:c r="A193" s="54" t="str">
        <x:v>QAR-0041</x:v>
      </x:c>
      <x:c r="B193" s="54" t="str">
        <x:v>EA</x:v>
      </x:c>
      <x:c r="C193" s="64" t="n">
        <x:v>170</x:v>
      </x:c>
      <x:c r="D193" s="54" t="str"/>
      <x:c r="E193" s="54" t="str">
        <x:v>RECONSTRUCTED</x:v>
      </x:c>
      <x:c r="F193" s="54" t="str">
        <x:v>MEDIUM</x:v>
      </x:c>
      <x:c r="G193" s="54" t="str">
        <x:v>RECON</x:v>
      </x:c>
      <x:c r="H193" s="54" t="str"/>
      <x:c r="I193" s="54" t="str">
        <x:v>KIT-LABEL</x:v>
      </x:c>
      <x:c r="J193" s="65" t="str"/>
    </x:row>
    <x:row r="194">
      <x:c r="A194" s="54" t="str">
        <x:v>QAR-0042</x:v>
      </x:c>
      <x:c r="B194" s="54" t="str">
        <x:v>EA</x:v>
      </x:c>
      <x:c r="C194" s="64" t="n">
        <x:v>450</x:v>
      </x:c>
      <x:c r="D194" s="54" t="str"/>
      <x:c r="E194" s="54" t="str">
        <x:v>RECONSTRUCTED</x:v>
      </x:c>
      <x:c r="F194" s="54" t="str">
        <x:v>MEDIUM</x:v>
      </x:c>
      <x:c r="G194" s="54" t="str">
        <x:v>RECON</x:v>
      </x:c>
      <x:c r="H194" s="54" t="str"/>
      <x:c r="I194" s="54" t="str">
        <x:v>KIT-LABEL</x:v>
      </x:c>
      <x:c r="J194" s="65" t="str"/>
    </x:row>
    <x:row r="195">
      <x:c r="A195" s="54" t="str">
        <x:v>QAR-0043</x:v>
      </x:c>
      <x:c r="B195" s="54" t="str">
        <x:v>EA</x:v>
      </x:c>
      <x:c r="C195" s="64" t="n">
        <x:v>280</x:v>
      </x:c>
      <x:c r="D195" s="54" t="str"/>
      <x:c r="E195" s="54" t="str">
        <x:v>RECONSTRUCTED</x:v>
      </x:c>
      <x:c r="F195" s="54" t="str">
        <x:v>MEDIUM</x:v>
      </x:c>
      <x:c r="G195" s="54" t="str">
        <x:v>RECON</x:v>
      </x:c>
      <x:c r="H195" s="54" t="str"/>
      <x:c r="I195" s="54" t="str">
        <x:v>KIT-LABEL</x:v>
      </x:c>
      <x:c r="J195" s="65" t="str"/>
    </x:row>
    <x:row r="196">
      <x:c r="A196" s="54" t="str">
        <x:v>QAR-0044</x:v>
      </x:c>
      <x:c r="B196" s="54" t="str">
        <x:v>EA</x:v>
      </x:c>
      <x:c r="C196" s="64" t="n">
        <x:v>170</x:v>
      </x:c>
      <x:c r="D196" s="54" t="str"/>
      <x:c r="E196" s="54" t="str">
        <x:v>RECONSTRUCTED</x:v>
      </x:c>
      <x:c r="F196" s="54" t="str">
        <x:v>MEDIUM</x:v>
      </x:c>
      <x:c r="G196" s="54" t="str">
        <x:v>RECON</x:v>
      </x:c>
      <x:c r="H196" s="54" t="str"/>
      <x:c r="I196" s="54" t="str">
        <x:v>KIT-LABEL</x:v>
      </x:c>
      <x:c r="J196" s="65" t="str"/>
    </x:row>
    <x:row r="197">
      <x:c r="A197" s="54" t="str">
        <x:v>QAR-0045</x:v>
      </x:c>
      <x:c r="B197" s="54" t="str">
        <x:v>EA</x:v>
      </x:c>
      <x:c r="C197" s="64" t="n">
        <x:v>170</x:v>
      </x:c>
      <x:c r="D197" s="54" t="str"/>
      <x:c r="E197" s="54" t="str">
        <x:v>RECONSTRUCTED</x:v>
      </x:c>
      <x:c r="F197" s="54" t="str">
        <x:v>MEDIUM</x:v>
      </x:c>
      <x:c r="G197" s="54" t="str">
        <x:v>RECON</x:v>
      </x:c>
      <x:c r="H197" s="54" t="str"/>
      <x:c r="I197" s="54" t="str">
        <x:v>KIT-LABEL</x:v>
      </x:c>
      <x:c r="J197" s="65" t="str"/>
    </x:row>
    <x:row r="198">
      <x:c r="A198" s="54" t="str">
        <x:v>QAR-0046</x:v>
      </x:c>
      <x:c r="B198" s="54" t="str">
        <x:v>EA</x:v>
      </x:c>
      <x:c r="C198" s="64" t="n">
        <x:v>280</x:v>
      </x:c>
      <x:c r="D198" s="54" t="str"/>
      <x:c r="E198" s="54" t="str">
        <x:v>RECONSTRUCTED</x:v>
      </x:c>
      <x:c r="F198" s="54" t="str">
        <x:v>MEDIUM</x:v>
      </x:c>
      <x:c r="G198" s="54" t="str">
        <x:v>RECON</x:v>
      </x:c>
      <x:c r="H198" s="54" t="str"/>
      <x:c r="I198" s="54" t="str">
        <x:v>KIT-LABEL</x:v>
      </x:c>
      <x:c r="J198" s="65" t="str"/>
    </x:row>
    <x:row r="199">
      <x:c r="A199" s="54" t="str">
        <x:v>QAR-0047</x:v>
      </x:c>
      <x:c r="B199" s="54" t="str">
        <x:v>EA</x:v>
      </x:c>
      <x:c r="C199" s="64" t="n">
        <x:v>170</x:v>
      </x:c>
      <x:c r="D199" s="54" t="str"/>
      <x:c r="E199" s="54" t="str">
        <x:v>RECONSTRUCTED</x:v>
      </x:c>
      <x:c r="F199" s="54" t="str">
        <x:v>MEDIUM</x:v>
      </x:c>
      <x:c r="G199" s="54" t="str">
        <x:v>RECON</x:v>
      </x:c>
      <x:c r="H199" s="54" t="str"/>
      <x:c r="I199" s="54" t="str">
        <x:v>KIT-LABEL</x:v>
      </x:c>
      <x:c r="J199" s="65" t="str"/>
    </x:row>
    <x:row r="200">
      <x:c r="A200" s="54" t="str">
        <x:v>QAR-0048</x:v>
      </x:c>
      <x:c r="B200" s="54" t="str">
        <x:v>EA</x:v>
      </x:c>
      <x:c r="C200" s="64" t="n">
        <x:v>280</x:v>
      </x:c>
      <x:c r="D200" s="54" t="str"/>
      <x:c r="E200" s="54" t="str">
        <x:v>RECONSTRUCTED</x:v>
      </x:c>
      <x:c r="F200" s="54" t="str">
        <x:v>MEDIUM</x:v>
      </x:c>
      <x:c r="G200" s="54" t="str">
        <x:v>RECON</x:v>
      </x:c>
      <x:c r="H200" s="54" t="str"/>
      <x:c r="I200" s="54" t="str">
        <x:v>KIT-LABEL</x:v>
      </x:c>
      <x:c r="J200" s="65" t="str"/>
    </x:row>
    <x:row r="201">
      <x:c r="A201" s="54" t="str">
        <x:v>QAR-0049</x:v>
      </x:c>
      <x:c r="B201" s="54" t="str">
        <x:v>EA</x:v>
      </x:c>
      <x:c r="C201" s="64" t="n">
        <x:v>170</x:v>
      </x:c>
      <x:c r="D201" s="54" t="str"/>
      <x:c r="E201" s="54" t="str">
        <x:v>RECONSTRUCTED</x:v>
      </x:c>
      <x:c r="F201" s="54" t="str">
        <x:v>MEDIUM</x:v>
      </x:c>
      <x:c r="G201" s="54" t="str">
        <x:v>RECON</x:v>
      </x:c>
      <x:c r="H201" s="54" t="str"/>
      <x:c r="I201" s="54" t="str">
        <x:v>KIT-LABEL</x:v>
      </x:c>
      <x:c r="J201" s="65" t="str"/>
    </x:row>
    <x:row r="202">
      <x:c r="A202" s="54" t="str">
        <x:v>QAR-0050</x:v>
      </x:c>
      <x:c r="B202" s="54" t="str">
        <x:v>EA</x:v>
      </x:c>
      <x:c r="C202" s="64" t="n">
        <x:v>170</x:v>
      </x:c>
      <x:c r="D202" s="54" t="str"/>
      <x:c r="E202" s="54" t="str">
        <x:v>RECONSTRUCTED</x:v>
      </x:c>
      <x:c r="F202" s="54" t="str">
        <x:v>MEDIUM</x:v>
      </x:c>
      <x:c r="G202" s="54" t="str">
        <x:v>RECON</x:v>
      </x:c>
      <x:c r="H202" s="54" t="str"/>
      <x:c r="I202" s="54" t="str">
        <x:v>KIT-LABEL</x:v>
      </x:c>
      <x:c r="J202" s="65" t="str"/>
    </x:row>
    <x:row r="203">
      <x:c r="A203" s="54" t="str">
        <x:v>QAR-0051</x:v>
      </x:c>
      <x:c r="B203" s="54" t="str">
        <x:v>EA</x:v>
      </x:c>
      <x:c r="C203" s="64" t="n">
        <x:v>170</x:v>
      </x:c>
      <x:c r="D203" s="54" t="str"/>
      <x:c r="E203" s="54" t="str">
        <x:v>RECONSTRUCTED</x:v>
      </x:c>
      <x:c r="F203" s="54" t="str">
        <x:v>MEDIUM</x:v>
      </x:c>
      <x:c r="G203" s="54" t="str">
        <x:v>RECON</x:v>
      </x:c>
      <x:c r="H203" s="54" t="str"/>
      <x:c r="I203" s="54" t="str">
        <x:v>KIT-LABEL</x:v>
      </x:c>
      <x:c r="J203" s="65" t="str"/>
    </x:row>
    <x:row r="204">
      <x:c r="A204" s="54" t="str">
        <x:v>QAR-0052</x:v>
      </x:c>
      <x:c r="B204" s="54" t="str">
        <x:v>EA</x:v>
      </x:c>
      <x:c r="C204" s="64" t="n">
        <x:v>170</x:v>
      </x:c>
      <x:c r="D204" s="54" t="str"/>
      <x:c r="E204" s="54" t="str">
        <x:v>RECONSTRUCTED</x:v>
      </x:c>
      <x:c r="F204" s="54" t="str">
        <x:v>MEDIUM</x:v>
      </x:c>
      <x:c r="G204" s="54" t="str">
        <x:v>RECON</x:v>
      </x:c>
      <x:c r="H204" s="54" t="str"/>
      <x:c r="I204" s="54" t="str">
        <x:v>KIT-LABEL</x:v>
      </x:c>
      <x:c r="J204" s="65" t="str"/>
    </x:row>
    <x:row r="205">
      <x:c r="A205" s="54" t="str">
        <x:v>PRT-0081</x:v>
      </x:c>
      <x:c r="B205" s="54" t="str">
        <x:v>EA</x:v>
      </x:c>
      <x:c r="C205" s="64" t="n">
        <x:v>2</x:v>
      </x:c>
      <x:c r="D205" s="54" t="str"/>
      <x:c r="E205" s="54" t="str">
        <x:v>RECONSTRUCTED</x:v>
      </x:c>
      <x:c r="F205" s="54" t="str">
        <x:v>MEDIUM</x:v>
      </x:c>
      <x:c r="G205" s="54" t="str">
        <x:v>RECON</x:v>
      </x:c>
      <x:c r="H205" s="54" t="str"/>
      <x:c r="I205" s="54" t="str">
        <x:v>PART-ID</x:v>
      </x:c>
      <x:c r="J205" s="65" t="str"/>
    </x:row>
    <x:row r="206">
      <x:c r="A206" s="54" t="str">
        <x:v>PRT-0082</x:v>
      </x:c>
      <x:c r="B206" s="54" t="str">
        <x:v>EA</x:v>
      </x:c>
      <x:c r="C206" s="64" t="n">
        <x:v>5</x:v>
      </x:c>
      <x:c r="D206" s="54" t="str"/>
      <x:c r="E206" s="54" t="str">
        <x:v>RECONSTRUCTED</x:v>
      </x:c>
      <x:c r="F206" s="54" t="str">
        <x:v>MEDIUM</x:v>
      </x:c>
      <x:c r="G206" s="54" t="str">
        <x:v>RECON</x:v>
      </x:c>
      <x:c r="H206" s="54" t="str"/>
      <x:c r="I206" s="54" t="str">
        <x:v>PART-ID</x:v>
      </x:c>
      <x:c r="J206" s="65" t="str"/>
    </x:row>
    <x:row r="207">
      <x:c r="A207" s="54" t="str">
        <x:v>PRT-0083</x:v>
      </x:c>
      <x:c r="B207" s="54" t="str">
        <x:v>EA</x:v>
      </x:c>
      <x:c r="C207" s="64" t="n">
        <x:v>11</x:v>
      </x:c>
      <x:c r="D207" s="54" t="str"/>
      <x:c r="E207" s="54" t="str">
        <x:v>RECONSTRUCTED</x:v>
      </x:c>
      <x:c r="F207" s="54" t="str">
        <x:v>MEDIUM</x:v>
      </x:c>
      <x:c r="G207" s="54" t="str">
        <x:v>RECON</x:v>
      </x:c>
      <x:c r="H207" s="54" t="str"/>
      <x:c r="I207" s="54" t="str">
        <x:v>PART-ID</x:v>
      </x:c>
      <x:c r="J207" s="65" t="str"/>
    </x:row>
    <x:row r="208">
      <x:c r="A208" s="54" t="str">
        <x:v>PRT-0084</x:v>
      </x:c>
      <x:c r="B208" s="54" t="str">
        <x:v>EA</x:v>
      </x:c>
      <x:c r="C208" s="64" t="n">
        <x:v>8</x:v>
      </x:c>
      <x:c r="D208" s="54" t="str"/>
      <x:c r="E208" s="54" t="str">
        <x:v>RECONSTRUCTED</x:v>
      </x:c>
      <x:c r="F208" s="54" t="str">
        <x:v>MEDIUM</x:v>
      </x:c>
      <x:c r="G208" s="54" t="str">
        <x:v>RECON</x:v>
      </x:c>
      <x:c r="H208" s="54" t="str"/>
      <x:c r="I208" s="54" t="str">
        <x:v>PART-ID</x:v>
      </x:c>
      <x:c r="J208" s="65" t="str"/>
    </x:row>
    <x:row r="209">
      <x:c r="A209" s="54" t="str">
        <x:v>PRT-0085</x:v>
      </x:c>
      <x:c r="B209" s="54" t="str">
        <x:v>EA</x:v>
      </x:c>
      <x:c r="C209" s="64" t="n">
        <x:v>16</x:v>
      </x:c>
      <x:c r="D209" s="54" t="str"/>
      <x:c r="E209" s="54" t="str">
        <x:v>RECONSTRUCTED</x:v>
      </x:c>
      <x:c r="F209" s="54" t="str">
        <x:v>MEDIUM</x:v>
      </x:c>
      <x:c r="G209" s="54" t="str">
        <x:v>RECON</x:v>
      </x:c>
      <x:c r="H209" s="54" t="str"/>
      <x:c r="I209" s="54" t="str">
        <x:v>PART-ID</x:v>
      </x:c>
      <x:c r="J209" s="65" t="str"/>
    </x:row>
    <x:row r="210">
      <x:c r="A210" s="54" t="str">
        <x:v>PRT-0086</x:v>
      </x:c>
      <x:c r="B210" s="54" t="str">
        <x:v>EA</x:v>
      </x:c>
      <x:c r="C210" s="64" t="n">
        <x:v>3</x:v>
      </x:c>
      <x:c r="D210" s="54" t="str"/>
      <x:c r="E210" s="54" t="str">
        <x:v>RECONSTRUCTED</x:v>
      </x:c>
      <x:c r="F210" s="54" t="str">
        <x:v>MEDIUM</x:v>
      </x:c>
      <x:c r="G210" s="54" t="str">
        <x:v>RECON</x:v>
      </x:c>
      <x:c r="H210" s="54" t="str"/>
      <x:c r="I210" s="54" t="str">
        <x:v>PART-ID</x:v>
      </x:c>
      <x:c r="J210" s="65" t="str"/>
    </x:row>
    <x:row r="211">
      <x:c r="A211" s="54" t="str">
        <x:v>PRT-0087</x:v>
      </x:c>
      <x:c r="B211" s="54" t="str">
        <x:v>EA</x:v>
      </x:c>
      <x:c r="C211" s="64" t="n">
        <x:v>1</x:v>
      </x:c>
      <x:c r="D211" s="54" t="str"/>
      <x:c r="E211" s="54" t="str">
        <x:v>RECONSTRUCTED</x:v>
      </x:c>
      <x:c r="F211" s="54" t="str">
        <x:v>MEDIUM</x:v>
      </x:c>
      <x:c r="G211" s="54" t="str">
        <x:v>RECON</x:v>
      </x:c>
      <x:c r="H211" s="54" t="str"/>
      <x:c r="I211" s="54" t="str">
        <x:v>PART-ID</x:v>
      </x:c>
      <x:c r="J211" s="65" t="str"/>
    </x:row>
    <x:row r="212">
      <x:c r="A212" s="54" t="str">
        <x:v>KIT-0020</x:v>
      </x:c>
      <x:c r="B212" s="54" t="str">
        <x:v>EA</x:v>
      </x:c>
      <x:c r="C212" s="64"/>
      <x:c r="D212" s="54" t="str"/>
      <x:c r="E212" s="54" t="str">
        <x:v>RECONSTRUCTED</x:v>
      </x:c>
      <x:c r="F212" s="54" t="str">
        <x:v>MEDIUM</x:v>
      </x:c>
      <x:c r="G212" s="54" t="str">
        <x:v>RECON</x:v>
      </x:c>
      <x:c r="H212" s="54" t="str"/>
      <x:c r="I212" s="54" t="str">
        <x:v>KIT-LABEL</x:v>
      </x:c>
      <x:c r="J212" s="65" t="str"/>
    </x:row>
    <x:row r="213">
      <x:c r="A213" s="54" t="str">
        <x:v>KIT-0021</x:v>
      </x:c>
      <x:c r="B213" s="54" t="str">
        <x:v>EA</x:v>
      </x:c>
      <x:c r="C213" s="64"/>
      <x:c r="D213" s="54" t="str"/>
      <x:c r="E213" s="54" t="str">
        <x:v>RECONSTRUCTED</x:v>
      </x:c>
      <x:c r="F213" s="54" t="str">
        <x:v>MEDIUM</x:v>
      </x:c>
      <x:c r="G213" s="54" t="str">
        <x:v>RECON</x:v>
      </x:c>
      <x:c r="H213" s="54" t="str"/>
      <x:c r="I213" s="54" t="str">
        <x:v>KIT-LABEL</x:v>
      </x:c>
      <x:c r="J213" s="65" t="str"/>
    </x:row>
    <x:row r="214">
      <x:c r="A214" s="54" t="str">
        <x:v>KIT-0022</x:v>
      </x:c>
      <x:c r="B214" s="54" t="str">
        <x:v>EA</x:v>
      </x:c>
      <x:c r="C214" s="64"/>
      <x:c r="D214" s="54" t="str"/>
      <x:c r="E214" s="54" t="str">
        <x:v>RECONSTRUCTED</x:v>
      </x:c>
      <x:c r="F214" s="54" t="str">
        <x:v>MEDIUM</x:v>
      </x:c>
      <x:c r="G214" s="54" t="str">
        <x:v>RECON</x:v>
      </x:c>
      <x:c r="H214" s="54" t="str"/>
      <x:c r="I214" s="54" t="str">
        <x:v>KIT-LABEL</x:v>
      </x:c>
      <x:c r="J214" s="65" t="str"/>
    </x:row>
    <x:row r="215">
      <x:c r="A215" s="54" t="str">
        <x:v>KIT-0023</x:v>
      </x:c>
      <x:c r="B215" s="54" t="str">
        <x:v>EA</x:v>
      </x:c>
      <x:c r="C215" s="64"/>
      <x:c r="D215" s="54" t="str"/>
      <x:c r="E215" s="54" t="str">
        <x:v>RECONSTRUCTED</x:v>
      </x:c>
      <x:c r="F215" s="54" t="str">
        <x:v>MEDIUM</x:v>
      </x:c>
      <x:c r="G215" s="54" t="str">
        <x:v>RECON</x:v>
      </x:c>
      <x:c r="H215" s="54" t="str"/>
      <x:c r="I215" s="54" t="str">
        <x:v>KIT-LABEL</x:v>
      </x:c>
      <x:c r="J215" s="65" t="str"/>
    </x:row>
    <x:row r="216">
      <x:c r="A216" s="54" t="str">
        <x:v>OFT-0012</x:v>
      </x:c>
      <x:c r="B216" s="54" t="str">
        <x:v>EA</x:v>
      </x:c>
      <x:c r="C216" s="64"/>
      <x:c r="D216" s="54" t="str"/>
      <x:c r="E216" s="54" t="str">
        <x:v>RECONSTRUCTED</x:v>
      </x:c>
      <x:c r="F216" s="54" t="str">
        <x:v>MEDIUM</x:v>
      </x:c>
      <x:c r="G216" s="54" t="str">
        <x:v>RECON</x:v>
      </x:c>
      <x:c r="H216" s="54" t="str"/>
      <x:c r="I216" s="54" t="str">
        <x:v>KIT-LABEL</x:v>
      </x:c>
      <x:c r="J216" s="65" t="str"/>
    </x:row>
    <x:row r="217">
      <x:c r="A217" s="54" t="str">
        <x:v>PRT-0088</x:v>
      </x:c>
      <x:c r="B217" s="54" t="str">
        <x:v>EA</x:v>
      </x:c>
      <x:c r="C217" s="64" t="n">
        <x:v>2200</x:v>
      </x:c>
      <x:c r="D217" s="54" t="str"/>
      <x:c r="E217" s="54" t="str">
        <x:v>RECONSTRUCTED</x:v>
      </x:c>
      <x:c r="F217" s="54" t="str">
        <x:v>MEDIUM</x:v>
      </x:c>
      <x:c r="G217" s="54" t="str">
        <x:v>RECON</x:v>
      </x:c>
      <x:c r="H217" s="54" t="str"/>
      <x:c r="I217" s="54" t="str">
        <x:v>PART-ID</x:v>
      </x:c>
      <x:c r="J217" s="65" t="str"/>
    </x:row>
    <x:row r="218">
      <x:c r="A218" s="54" t="str">
        <x:v>PRT-0089</x:v>
      </x:c>
      <x:c r="B218" s="54" t="str">
        <x:v>EA</x:v>
      </x:c>
      <x:c r="C218" s="64" t="n">
        <x:v>2600</x:v>
      </x:c>
      <x:c r="D218" s="54" t="str"/>
      <x:c r="E218" s="54" t="str">
        <x:v>RECONSTRUCTED</x:v>
      </x:c>
      <x:c r="F218" s="54" t="str">
        <x:v>MEDIUM</x:v>
      </x:c>
      <x:c r="G218" s="54" t="str">
        <x:v>RECON</x:v>
      </x:c>
      <x:c r="H218" s="54" t="str"/>
      <x:c r="I218" s="54" t="str">
        <x:v>PART-ID</x:v>
      </x:c>
      <x:c r="J218" s="65" t="str"/>
    </x:row>
    <x:row r="219">
      <x:c r="A219" s="54" t="str">
        <x:v>PRT-0090</x:v>
      </x:c>
      <x:c r="B219" s="54" t="str">
        <x:v>EA</x:v>
      </x:c>
      <x:c r="C219" s="64" t="n">
        <x:v>900</x:v>
      </x:c>
      <x:c r="D219" s="54" t="str"/>
      <x:c r="E219" s="54" t="str">
        <x:v>RECONSTRUCTED</x:v>
      </x:c>
      <x:c r="F219" s="54" t="str">
        <x:v>MEDIUM</x:v>
      </x:c>
      <x:c r="G219" s="54" t="str">
        <x:v>RECON</x:v>
      </x:c>
      <x:c r="H219" s="54" t="str"/>
      <x:c r="I219" s="54" t="str">
        <x:v>PART-ID</x:v>
      </x:c>
      <x:c r="J219" s="65" t="str"/>
    </x:row>
    <x:row r="220">
      <x:c r="A220" s="54" t="str">
        <x:v>PRT-0091</x:v>
      </x:c>
      <x:c r="B220" s="54" t="str">
        <x:v>EA</x:v>
      </x:c>
      <x:c r="C220" s="64" t="n">
        <x:v>350</x:v>
      </x:c>
      <x:c r="D220" s="54" t="str"/>
      <x:c r="E220" s="54" t="str">
        <x:v>RECONSTRUCTED</x:v>
      </x:c>
      <x:c r="F220" s="54" t="str">
        <x:v>MEDIUM</x:v>
      </x:c>
      <x:c r="G220" s="54" t="str">
        <x:v>RECON</x:v>
      </x:c>
      <x:c r="H220" s="54" t="str"/>
      <x:c r="I220" s="54" t="str">
        <x:v>PART-ID</x:v>
      </x:c>
      <x:c r="J220" s="65" t="str"/>
    </x:row>
    <x:row r="221">
      <x:c r="A221" s="54" t="str">
        <x:v>PRT-0092</x:v>
      </x:c>
      <x:c r="B221" s="54" t="str">
        <x:v>EA</x:v>
      </x:c>
      <x:c r="C221" s="64" t="n">
        <x:v>1800</x:v>
      </x:c>
      <x:c r="D221" s="54" t="str"/>
      <x:c r="E221" s="54" t="str">
        <x:v>RECONSTRUCTED</x:v>
      </x:c>
      <x:c r="F221" s="54" t="str">
        <x:v>MEDIUM</x:v>
      </x:c>
      <x:c r="G221" s="54" t="str">
        <x:v>RECON</x:v>
      </x:c>
      <x:c r="H221" s="54" t="str"/>
      <x:c r="I221" s="54" t="str">
        <x:v>PART-ID</x:v>
      </x:c>
      <x:c r="J221" s="65" t="str"/>
    </x:row>
    <x:row r="222">
      <x:c r="A222" s="54" t="str">
        <x:v>PRT-0093</x:v>
      </x:c>
      <x:c r="B222" s="54" t="str">
        <x:v>EA</x:v>
      </x:c>
      <x:c r="C222" s="64" t="n">
        <x:v>2100</x:v>
      </x:c>
      <x:c r="D222" s="54" t="str"/>
      <x:c r="E222" s="54" t="str">
        <x:v>RECONSTRUCTED</x:v>
      </x:c>
      <x:c r="F222" s="54" t="str">
        <x:v>MEDIUM</x:v>
      </x:c>
      <x:c r="G222" s="54" t="str">
        <x:v>RECON</x:v>
      </x:c>
      <x:c r="H222" s="54" t="str"/>
      <x:c r="I222" s="54" t="str">
        <x:v>PART-ID</x:v>
      </x:c>
      <x:c r="J222" s="65" t="str"/>
    </x:row>
    <x:row r="223">
      <x:c r="A223" s="54" t="str">
        <x:v>PRT-0094</x:v>
      </x:c>
      <x:c r="B223" s="54" t="str">
        <x:v>EA</x:v>
      </x:c>
      <x:c r="C223" s="64" t="n">
        <x:v>650</x:v>
      </x:c>
      <x:c r="D223" s="54" t="str"/>
      <x:c r="E223" s="54" t="str">
        <x:v>RECONSTRUCTED</x:v>
      </x:c>
      <x:c r="F223" s="54" t="str">
        <x:v>MEDIUM</x:v>
      </x:c>
      <x:c r="G223" s="54" t="str">
        <x:v>RECON</x:v>
      </x:c>
      <x:c r="H223" s="54" t="str"/>
      <x:c r="I223" s="54" t="str">
        <x:v>PART-ID</x:v>
      </x:c>
      <x:c r="J223" s="65" t="str"/>
    </x:row>
    <x:row r="224">
      <x:c r="A224" s="54" t="str">
        <x:v>PRT-0095</x:v>
      </x:c>
      <x:c r="B224" s="54" t="str">
        <x:v>EA</x:v>
      </x:c>
      <x:c r="C224" s="64" t="n">
        <x:v>250</x:v>
      </x:c>
      <x:c r="D224" s="54" t="str"/>
      <x:c r="E224" s="54" t="str">
        <x:v>RECONSTRUCTED</x:v>
      </x:c>
      <x:c r="F224" s="54" t="str">
        <x:v>MEDIUM</x:v>
      </x:c>
      <x:c r="G224" s="54" t="str">
        <x:v>RECON</x:v>
      </x:c>
      <x:c r="H224" s="54" t="str"/>
      <x:c r="I224" s="54" t="str">
        <x:v>PART-ID</x:v>
      </x:c>
      <x:c r="J224" s="65" t="str"/>
    </x:row>
    <x:row r="225">
      <x:c r="A225" s="54" t="str">
        <x:v>ASM-0023</x:v>
      </x:c>
      <x:c r="B225" s="54" t="str">
        <x:v>EA</x:v>
      </x:c>
      <x:c r="C225" s="64" t="n">
        <x:v>28</x:v>
      </x:c>
      <x:c r="D225" s="54" t="str"/>
      <x:c r="E225" s="54" t="str">
        <x:v>RECONSTRUCTED</x:v>
      </x:c>
      <x:c r="F225" s="54" t="str">
        <x:v>MEDIUM</x:v>
      </x:c>
      <x:c r="G225" s="54" t="str">
        <x:v>RECON</x:v>
      </x:c>
      <x:c r="H225" s="54" t="str"/>
      <x:c r="I225" s="54" t="str">
        <x:v>KIT-LABEL</x:v>
      </x:c>
      <x:c r="J225" s="65" t="str"/>
    </x:row>
    <x:row r="226">
      <x:c r="A226" s="54" t="str">
        <x:v>PRT-0096</x:v>
      </x:c>
      <x:c r="B226" s="54" t="str">
        <x:v>EA</x:v>
      </x:c>
      <x:c r="C226" s="64" t="n">
        <x:v>18</x:v>
      </x:c>
      <x:c r="D226" s="54" t="str"/>
      <x:c r="E226" s="54" t="str">
        <x:v>RECONSTRUCTED</x:v>
      </x:c>
      <x:c r="F226" s="54" t="str">
        <x:v>MEDIUM</x:v>
      </x:c>
      <x:c r="G226" s="54" t="str">
        <x:v>RECON</x:v>
      </x:c>
      <x:c r="H226" s="54" t="str"/>
      <x:c r="I226" s="54" t="str">
        <x:v>PART-ID</x:v>
      </x:c>
      <x:c r="J226" s="65" t="str"/>
    </x:row>
    <x:row r="227">
      <x:c r="A227" s="54" t="str">
        <x:v>PRT-0097</x:v>
      </x:c>
      <x:c r="B227" s="54" t="str">
        <x:v>EA</x:v>
      </x:c>
      <x:c r="C227" s="64" t="n">
        <x:v>280</x:v>
      </x:c>
      <x:c r="D227" s="54" t="str"/>
      <x:c r="E227" s="54" t="str">
        <x:v>RECONSTRUCTED</x:v>
      </x:c>
      <x:c r="F227" s="54" t="str">
        <x:v>MEDIUM</x:v>
      </x:c>
      <x:c r="G227" s="54" t="str">
        <x:v>RECON</x:v>
      </x:c>
      <x:c r="H227" s="54" t="str"/>
      <x:c r="I227" s="54" t="str">
        <x:v>PART-ID</x:v>
      </x:c>
      <x:c r="J227" s="65" t="str"/>
    </x:row>
    <x:row r="228">
      <x:c r="A228" s="54" t="str">
        <x:v>PRT-0098</x:v>
      </x:c>
      <x:c r="B228" s="54" t="str">
        <x:v>EA</x:v>
      </x:c>
      <x:c r="C228" s="64" t="n">
        <x:v>8</x:v>
      </x:c>
      <x:c r="D228" s="54" t="str"/>
      <x:c r="E228" s="54" t="str">
        <x:v>RECONSTRUCTED</x:v>
      </x:c>
      <x:c r="F228" s="54" t="str">
        <x:v>MEDIUM</x:v>
      </x:c>
      <x:c r="G228" s="54" t="str">
        <x:v>RECON</x:v>
      </x:c>
      <x:c r="H228" s="54" t="str"/>
      <x:c r="I228" s="54" t="str">
        <x:v>PART-ID</x:v>
      </x:c>
      <x:c r="J228" s="65" t="str"/>
    </x:row>
    <x:row r="229">
      <x:c r="A229" s="54" t="str">
        <x:v>LBL-0005</x:v>
      </x:c>
      <x:c r="B229" s="54" t="str">
        <x:v>EA</x:v>
      </x:c>
      <x:c r="C229" s="64"/>
      <x:c r="D229" s="54" t="str"/>
      <x:c r="E229" s="54" t="str">
        <x:v>FICTIONAL</x:v>
      </x:c>
      <x:c r="F229" s="54" t="str">
        <x:v>N/A</x:v>
      </x:c>
      <x:c r="G229" s="54" t="str">
        <x:v>FICTION</x:v>
      </x:c>
      <x:c r="H229" s="54" t="str"/>
      <x:c r="I229" s="54" t="str">
        <x:v>LABEL-STOCK</x:v>
      </x:c>
      <x:c r="J229" s="65" t="str"/>
    </x:row>
    <x:row r="230">
      <x:c r="A230" s="54" t="str">
        <x:v>OFT-0013</x:v>
      </x:c>
      <x:c r="B230" s="54" t="str">
        <x:v>EA</x:v>
      </x:c>
      <x:c r="C230" s="64"/>
      <x:c r="D230" s="54" t="str"/>
      <x:c r="E230" s="54" t="str">
        <x:v>RECONSTRUCTED</x:v>
      </x:c>
      <x:c r="F230" s="54" t="str">
        <x:v>MEDIUM</x:v>
      </x:c>
      <x:c r="G230" s="54" t="str">
        <x:v>RECON</x:v>
      </x:c>
      <x:c r="H230" s="54" t="str"/>
      <x:c r="I230" s="54" t="str">
        <x:v>KIT-LABEL</x:v>
      </x:c>
      <x:c r="J230" s="65" t="str"/>
    </x:row>
    <x:row r="231">
      <x:c r="A231" s="54" t="str">
        <x:v>OFT-0014</x:v>
      </x:c>
      <x:c r="B231" s="54" t="str">
        <x:v>EA</x:v>
      </x:c>
      <x:c r="C231" s="64"/>
      <x:c r="D231" s="54" t="str"/>
      <x:c r="E231" s="54" t="str">
        <x:v>RECONSTRUCTED</x:v>
      </x:c>
      <x:c r="F231" s="54" t="str">
        <x:v>MEDIUM</x:v>
      </x:c>
      <x:c r="G231" s="54" t="str">
        <x:v>RECON</x:v>
      </x:c>
      <x:c r="H231" s="54" t="str"/>
      <x:c r="I231" s="54" t="str">
        <x:v>KIT-LABEL</x:v>
      </x:c>
      <x:c r="J231" s="65" t="str"/>
    </x:row>
    <x:row r="232">
      <x:c r="A232" s="54" t="str">
        <x:v>OFT-0015</x:v>
      </x:c>
      <x:c r="B232" s="54" t="str">
        <x:v>EA</x:v>
      </x:c>
      <x:c r="C232" s="64"/>
      <x:c r="D232" s="54" t="str"/>
      <x:c r="E232" s="54" t="str">
        <x:v>RECONSTRUCTED</x:v>
      </x:c>
      <x:c r="F232" s="54" t="str">
        <x:v>MEDIUM</x:v>
      </x:c>
      <x:c r="G232" s="54" t="str">
        <x:v>RECON</x:v>
      </x:c>
      <x:c r="H232" s="54" t="str"/>
      <x:c r="I232" s="54" t="str">
        <x:v>KIT-LABEL</x:v>
      </x:c>
      <x:c r="J232" s="65" t="str"/>
    </x:row>
    <x:row r="233">
      <x:c r="A233" s="54" t="str">
        <x:v>ASM-0024</x:v>
      </x:c>
      <x:c r="B233" s="54" t="str">
        <x:v>EA</x:v>
      </x:c>
      <x:c r="C233" s="64"/>
      <x:c r="D233" s="54" t="str"/>
      <x:c r="E233" s="54" t="str">
        <x:v>RECONSTRUCTED</x:v>
      </x:c>
      <x:c r="F233" s="54" t="str">
        <x:v>MEDIUM</x:v>
      </x:c>
      <x:c r="G233" s="54" t="str">
        <x:v>RECON</x:v>
      </x:c>
      <x:c r="H233" s="54" t="str"/>
      <x:c r="I233" s="54" t="str">
        <x:v>KIT-LABEL</x:v>
      </x:c>
      <x:c r="J233" s="65" t="str"/>
    </x:row>
    <x:row r="234">
      <x:c r="A234" s="54" t="str">
        <x:v>ASM-0025</x:v>
      </x:c>
      <x:c r="B234" s="54" t="str">
        <x:v>EA</x:v>
      </x:c>
      <x:c r="C234" s="64"/>
      <x:c r="D234" s="54" t="str"/>
      <x:c r="E234" s="54" t="str">
        <x:v>RECONSTRUCTED</x:v>
      </x:c>
      <x:c r="F234" s="54" t="str">
        <x:v>MEDIUM</x:v>
      </x:c>
      <x:c r="G234" s="54" t="str">
        <x:v>RECON</x:v>
      </x:c>
      <x:c r="H234" s="54" t="str"/>
      <x:c r="I234" s="54" t="str">
        <x:v>KIT-LABEL</x:v>
      </x:c>
      <x:c r="J234" s="65" t="str"/>
    </x:row>
    <x:row r="235">
      <x:c r="A235" s="54" t="str">
        <x:v>ASM-0026</x:v>
      </x:c>
      <x:c r="B235" s="54" t="str">
        <x:v>EA</x:v>
      </x:c>
      <x:c r="C235" s="64"/>
      <x:c r="D235" s="54" t="str"/>
      <x:c r="E235" s="54" t="str">
        <x:v>RECONSTRUCTED</x:v>
      </x:c>
      <x:c r="F235" s="54" t="str">
        <x:v>MEDIUM</x:v>
      </x:c>
      <x:c r="G235" s="54" t="str">
        <x:v>RECON</x:v>
      </x:c>
      <x:c r="H235" s="54" t="str"/>
      <x:c r="I235" s="54" t="str">
        <x:v>KIT-LABEL</x:v>
      </x:c>
      <x:c r="J235" s="65" t="str"/>
    </x:row>
    <x:row r="236">
      <x:c r="A236" s="54" t="str">
        <x:v>PRT-0099</x:v>
      </x:c>
      <x:c r="B236" s="54" t="str">
        <x:v>EA</x:v>
      </x:c>
      <x:c r="C236" s="64" t="n">
        <x:v>18</x:v>
      </x:c>
      <x:c r="D236" s="54" t="str"/>
      <x:c r="E236" s="54" t="str">
        <x:v>RECONSTRUCTED</x:v>
      </x:c>
      <x:c r="F236" s="54" t="str">
        <x:v>MEDIUM</x:v>
      </x:c>
      <x:c r="G236" s="54" t="str">
        <x:v>RECON</x:v>
      </x:c>
      <x:c r="H236" s="54" t="str"/>
      <x:c r="I236" s="54" t="str">
        <x:v>PART-ID</x:v>
      </x:c>
      <x:c r="J236" s="65" t="str"/>
    </x:row>
    <x:row r="237">
      <x:c r="A237" s="54" t="str">
        <x:v>PRT-0100</x:v>
      </x:c>
      <x:c r="B237" s="54" t="str">
        <x:v>EA</x:v>
      </x:c>
      <x:c r="C237" s="64" t="n">
        <x:v>12</x:v>
      </x:c>
      <x:c r="D237" s="54" t="str"/>
      <x:c r="E237" s="54" t="str">
        <x:v>RECONSTRUCTED</x:v>
      </x:c>
      <x:c r="F237" s="54" t="str">
        <x:v>MEDIUM</x:v>
      </x:c>
      <x:c r="G237" s="54" t="str">
        <x:v>RECON</x:v>
      </x:c>
      <x:c r="H237" s="54" t="str"/>
      <x:c r="I237" s="54" t="str">
        <x:v>PART-ID</x:v>
      </x:c>
      <x:c r="J237" s="65" t="str"/>
    </x:row>
    <x:row r="238">
      <x:c r="A238" s="54" t="str">
        <x:v>ASM-0027</x:v>
      </x:c>
      <x:c r="B238" s="54" t="str">
        <x:v>EA</x:v>
      </x:c>
      <x:c r="C238" s="64" t="n">
        <x:v>24</x:v>
      </x:c>
      <x:c r="D238" s="54" t="str"/>
      <x:c r="E238" s="54" t="str">
        <x:v>RECONSTRUCTED</x:v>
      </x:c>
      <x:c r="F238" s="54" t="str">
        <x:v>MEDIUM</x:v>
      </x:c>
      <x:c r="G238" s="54" t="str">
        <x:v>RECON</x:v>
      </x:c>
      <x:c r="H238" s="54" t="str"/>
      <x:c r="I238" s="54" t="str">
        <x:v>KIT-LABEL</x:v>
      </x:c>
      <x:c r="J238" s="65" t="str"/>
    </x:row>
    <x:row r="239">
      <x:c r="A239" s="54" t="str">
        <x:v>ASM-0028</x:v>
      </x:c>
      <x:c r="B239" s="54" t="str">
        <x:v>EA</x:v>
      </x:c>
      <x:c r="C239" s="64" t="n">
        <x:v>42</x:v>
      </x:c>
      <x:c r="D239" s="54" t="str"/>
      <x:c r="E239" s="54" t="str">
        <x:v>RECONSTRUCTED</x:v>
      </x:c>
      <x:c r="F239" s="54" t="str">
        <x:v>MEDIUM</x:v>
      </x:c>
      <x:c r="G239" s="54" t="str">
        <x:v>RECON</x:v>
      </x:c>
      <x:c r="H239" s="54" t="str"/>
      <x:c r="I239" s="54" t="str">
        <x:v>KIT-LABEL</x:v>
      </x:c>
      <x:c r="J239" s="65" t="str"/>
    </x:row>
    <x:row r="240">
      <x:c r="A240" s="54" t="str">
        <x:v>ASM-0029</x:v>
      </x:c>
      <x:c r="B240" s="54" t="str">
        <x:v>EA</x:v>
      </x:c>
      <x:c r="C240" s="64" t="n">
        <x:v>35</x:v>
      </x:c>
      <x:c r="D240" s="54" t="str"/>
      <x:c r="E240" s="54" t="str">
        <x:v>RECONSTRUCTED</x:v>
      </x:c>
      <x:c r="F240" s="54" t="str">
        <x:v>MEDIUM</x:v>
      </x:c>
      <x:c r="G240" s="54" t="str">
        <x:v>RECON</x:v>
      </x:c>
      <x:c r="H240" s="54" t="str"/>
      <x:c r="I240" s="54" t="str">
        <x:v>KIT-LABEL</x:v>
      </x:c>
      <x:c r="J240" s="65" t="str"/>
    </x:row>
    <x:row r="241">
      <x:c r="A241" s="54" t="str">
        <x:v>ASM-0030</x:v>
      </x:c>
      <x:c r="B241" s="54" t="str">
        <x:v>EA</x:v>
      </x:c>
      <x:c r="C241" s="64" t="n">
        <x:v>48</x:v>
      </x:c>
      <x:c r="D241" s="54" t="str"/>
      <x:c r="E241" s="54" t="str">
        <x:v>RECONSTRUCTED</x:v>
      </x:c>
      <x:c r="F241" s="54" t="str">
        <x:v>MEDIUM</x:v>
      </x:c>
      <x:c r="G241" s="54" t="str">
        <x:v>RECON</x:v>
      </x:c>
      <x:c r="H241" s="54" t="str"/>
      <x:c r="I241" s="54" t="str">
        <x:v>KIT-LABEL</x:v>
      </x:c>
      <x:c r="J241" s="65" t="str"/>
    </x:row>
    <x:row r="242">
      <x:c r="A242" s="54" t="str">
        <x:v>PRT-0101</x:v>
      </x:c>
      <x:c r="B242" s="54" t="str">
        <x:v>EA</x:v>
      </x:c>
      <x:c r="C242" s="64" t="n">
        <x:v>18</x:v>
      </x:c>
      <x:c r="D242" s="54" t="str"/>
      <x:c r="E242" s="54" t="str">
        <x:v>RECONSTRUCTED</x:v>
      </x:c>
      <x:c r="F242" s="54" t="str">
        <x:v>MEDIUM</x:v>
      </x:c>
      <x:c r="G242" s="54" t="str">
        <x:v>RECON</x:v>
      </x:c>
      <x:c r="H242" s="54" t="str"/>
      <x:c r="I242" s="54" t="str">
        <x:v>PART-ID</x:v>
      </x:c>
      <x:c r="J242" s="65" t="str"/>
    </x:row>
    <x:row r="243">
      <x:c r="A243" s="54" t="str">
        <x:v>PRT-0102</x:v>
      </x:c>
      <x:c r="B243" s="54" t="str">
        <x:v>EA</x:v>
      </x:c>
      <x:c r="C243" s="64" t="n">
        <x:v>2</x:v>
      </x:c>
      <x:c r="D243" s="54" t="str"/>
      <x:c r="E243" s="54" t="str">
        <x:v>RECONSTRUCTED</x:v>
      </x:c>
      <x:c r="F243" s="54" t="str">
        <x:v>MEDIUM</x:v>
      </x:c>
      <x:c r="G243" s="54" t="str">
        <x:v>RECON</x:v>
      </x:c>
      <x:c r="H243" s="54" t="str"/>
      <x:c r="I243" s="54" t="str">
        <x:v>PART-ID</x:v>
      </x:c>
      <x:c r="J243" s="65" t="str"/>
    </x:row>
    <x:row r="244">
      <x:c r="A244" s="54" t="str">
        <x:v>PKG-0005</x:v>
      </x:c>
      <x:c r="B244" s="54" t="str">
        <x:v>EA</x:v>
      </x:c>
      <x:c r="C244" s="64" t="n">
        <x:v>12</x:v>
      </x:c>
      <x:c r="D244" s="54" t="str"/>
      <x:c r="E244" s="54" t="str">
        <x:v>RECONSTRUCTED</x:v>
      </x:c>
      <x:c r="F244" s="54" t="str">
        <x:v>MEDIUM</x:v>
      </x:c>
      <x:c r="G244" s="54" t="str">
        <x:v>RECON</x:v>
      </x:c>
      <x:c r="H244" s="54" t="str"/>
      <x:c r="I244" s="54" t="str">
        <x:v>KIT-LABEL</x:v>
      </x:c>
      <x:c r="J244" s="65" t="str"/>
    </x:row>
    <x:row r="245">
      <x:c r="A245" s="54" t="str">
        <x:v>KIT-0024</x:v>
      </x:c>
      <x:c r="B245" s="54" t="str">
        <x:v>EA</x:v>
      </x:c>
      <x:c r="C245" s="64"/>
      <x:c r="D245" s="54" t="str"/>
      <x:c r="E245" s="54" t="str">
        <x:v>RECONSTRUCTED</x:v>
      </x:c>
      <x:c r="F245" s="54" t="str">
        <x:v>MEDIUM</x:v>
      </x:c>
      <x:c r="G245" s="54" t="str">
        <x:v>RECON</x:v>
      </x:c>
      <x:c r="H245" s="54" t="str"/>
      <x:c r="I245" s="54" t="str">
        <x:v>KIT-LABEL</x:v>
      </x:c>
      <x:c r="J245" s="65" t="str"/>
    </x:row>
    <x:row r="246">
      <x:c r="A246" s="54" t="str">
        <x:v>KIT-0025</x:v>
      </x:c>
      <x:c r="B246" s="54" t="str">
        <x:v>EA</x:v>
      </x:c>
      <x:c r="C246" s="64"/>
      <x:c r="D246" s="54" t="str"/>
      <x:c r="E246" s="54" t="str">
        <x:v>RECONSTRUCTED</x:v>
      </x:c>
      <x:c r="F246" s="54" t="str">
        <x:v>MEDIUM</x:v>
      </x:c>
      <x:c r="G246" s="54" t="str">
        <x:v>QAR-TOOLS</x:v>
      </x:c>
      <x:c r="H246" s="54" t="str"/>
      <x:c r="I246" s="54" t="str">
        <x:v>KIT-LABEL</x:v>
      </x:c>
      <x:c r="J246" s="65" t="str"/>
    </x:row>
    <x:row r="247">
      <x:c r="A247" s="54" t="str">
        <x:v>KIT-0026</x:v>
      </x:c>
      <x:c r="B247" s="54" t="str">
        <x:v>EA</x:v>
      </x:c>
      <x:c r="C247" s="64"/>
      <x:c r="D247" s="54" t="str"/>
      <x:c r="E247" s="54" t="str">
        <x:v>RECONSTRUCTED</x:v>
      </x:c>
      <x:c r="F247" s="54" t="str">
        <x:v>MEDIUM</x:v>
      </x:c>
      <x:c r="G247" s="54" t="str">
        <x:v>QAR-TOOLS</x:v>
      </x:c>
      <x:c r="H247" s="54" t="str"/>
      <x:c r="I247" s="54" t="str">
        <x:v>KIT-LABEL</x:v>
      </x:c>
      <x:c r="J247" s="65" t="str"/>
    </x:row>
    <x:row r="248">
      <x:c r="A248" s="54" t="str">
        <x:v>OFT-0016</x:v>
      </x:c>
      <x:c r="B248" s="54" t="str">
        <x:v>EA</x:v>
      </x:c>
      <x:c r="C248" s="64"/>
      <x:c r="D248" s="54" t="str"/>
      <x:c r="E248" s="54" t="str">
        <x:v>RECONSTRUCTED</x:v>
      </x:c>
      <x:c r="F248" s="54" t="str">
        <x:v>MEDIUM</x:v>
      </x:c>
      <x:c r="G248" s="54" t="str">
        <x:v>RECON</x:v>
      </x:c>
      <x:c r="H248" s="54" t="str"/>
      <x:c r="I248" s="54" t="str">
        <x:v>KIT-LABEL</x:v>
      </x:c>
      <x:c r="J248" s="65" t="str"/>
    </x:row>
    <x:row r="249">
      <x:c r="A249" s="54" t="str">
        <x:v>ASM-0031</x:v>
      </x:c>
      <x:c r="B249" s="54" t="str">
        <x:v>EA</x:v>
      </x:c>
      <x:c r="C249" s="64"/>
      <x:c r="D249" s="54" t="str"/>
      <x:c r="E249" s="54" t="str">
        <x:v>RECONSTRUCTED</x:v>
      </x:c>
      <x:c r="F249" s="54" t="str">
        <x:v>MEDIUM</x:v>
      </x:c>
      <x:c r="G249" s="54" t="str">
        <x:v>RECON</x:v>
      </x:c>
      <x:c r="H249" s="54" t="str"/>
      <x:c r="I249" s="54" t="str">
        <x:v>KIT-LABEL</x:v>
      </x:c>
      <x:c r="J249" s="65" t="str"/>
    </x:row>
    <x:row r="250">
      <x:c r="A250" s="54" t="str">
        <x:v>PRT-0103</x:v>
      </x:c>
      <x:c r="B250" s="54" t="str">
        <x:v>EA</x:v>
      </x:c>
      <x:c r="C250" s="64"/>
      <x:c r="D250" s="54" t="str"/>
      <x:c r="E250" s="54" t="str">
        <x:v>RECONSTRUCTED</x:v>
      </x:c>
      <x:c r="F250" s="54" t="str">
        <x:v>MEDIUM</x:v>
      </x:c>
      <x:c r="G250" s="54" t="str">
        <x:v>RECON</x:v>
      </x:c>
      <x:c r="H250" s="54" t="str"/>
      <x:c r="I250" s="54" t="str">
        <x:v>PART-ID</x:v>
      </x:c>
      <x:c r="J250" s="65" t="str"/>
    </x:row>
    <x:row r="251">
      <x:c r="A251" s="54" t="str">
        <x:v>ASM-0032</x:v>
      </x:c>
      <x:c r="B251" s="54" t="str">
        <x:v>EA</x:v>
      </x:c>
      <x:c r="C251" s="64"/>
      <x:c r="D251" s="54" t="str"/>
      <x:c r="E251" s="54" t="str">
        <x:v>RECOVERED</x:v>
      </x:c>
      <x:c r="F251" s="54" t="str">
        <x:v>MEDIUM</x:v>
      </x:c>
      <x:c r="G251" s="54" t="str">
        <x:v>QAR-TOOLS</x:v>
      </x:c>
      <x:c r="H251" s="54" t="str"/>
      <x:c r="I251" s="54" t="str">
        <x:v>KIT-LABEL</x:v>
      </x:c>
      <x:c r="J251" s="65" t="str"/>
    </x:row>
    <x:row r="252">
      <x:c r="A252" s="54" t="str">
        <x:v>PRT-0104</x:v>
      </x:c>
      <x:c r="B252" s="54" t="str">
        <x:v>EA</x:v>
      </x:c>
      <x:c r="C252" s="64"/>
      <x:c r="D252" s="54" t="str"/>
      <x:c r="E252" s="54" t="str">
        <x:v>RECOVERED</x:v>
      </x:c>
      <x:c r="F252" s="54" t="str">
        <x:v>MEDIUM</x:v>
      </x:c>
      <x:c r="G252" s="54" t="str">
        <x:v>QAR-TOOLS</x:v>
      </x:c>
      <x:c r="H252" s="54" t="str"/>
      <x:c r="I252" s="54" t="str">
        <x:v>PART-ID</x:v>
      </x:c>
      <x:c r="J252" s="65" t="str"/>
    </x:row>
    <x:row r="253">
      <x:c r="A253" s="54" t="str">
        <x:v>PRT-0105</x:v>
      </x:c>
      <x:c r="B253" s="54" t="str">
        <x:v>EA</x:v>
      </x:c>
      <x:c r="C253" s="64"/>
      <x:c r="D253" s="54" t="str"/>
      <x:c r="E253" s="54" t="str">
        <x:v>RECOVERED</x:v>
      </x:c>
      <x:c r="F253" s="54" t="str">
        <x:v>MEDIUM</x:v>
      </x:c>
      <x:c r="G253" s="54" t="str">
        <x:v>QAR-TOOLS</x:v>
      </x:c>
      <x:c r="H253" s="54" t="str"/>
      <x:c r="I253" s="54" t="str">
        <x:v>PART-ID</x:v>
      </x:c>
      <x:c r="J253" s="65" t="str"/>
    </x:row>
    <x:row r="254">
      <x:c r="A254" s="54" t="str">
        <x:v>PRT-0106</x:v>
      </x:c>
      <x:c r="B254" s="54" t="str">
        <x:v>EA</x:v>
      </x:c>
      <x:c r="C254" s="64"/>
      <x:c r="D254" s="54" t="str"/>
      <x:c r="E254" s="54" t="str">
        <x:v>RECONSTRUCTED</x:v>
      </x:c>
      <x:c r="F254" s="54" t="str">
        <x:v>MEDIUM</x:v>
      </x:c>
      <x:c r="G254" s="54" t="str">
        <x:v>RECON</x:v>
      </x:c>
      <x:c r="H254" s="54" t="str"/>
      <x:c r="I254" s="54" t="str">
        <x:v>PART-ID</x:v>
      </x:c>
      <x:c r="J254" s="65" t="str"/>
    </x:row>
    <x:row r="255">
      <x:c r="A255" s="54" t="str">
        <x:v>PRT-0107</x:v>
      </x:c>
      <x:c r="B255" s="54" t="str">
        <x:v>EA</x:v>
      </x:c>
      <x:c r="C255" s="64"/>
      <x:c r="D255" s="54" t="str"/>
      <x:c r="E255" s="54" t="str">
        <x:v>RECONSTRUCTED</x:v>
      </x:c>
      <x:c r="F255" s="54" t="str">
        <x:v>MEDIUM</x:v>
      </x:c>
      <x:c r="G255" s="54" t="str">
        <x:v>RECON</x:v>
      </x:c>
      <x:c r="H255" s="54" t="str"/>
      <x:c r="I255" s="54" t="str">
        <x:v>PART-ID</x:v>
      </x:c>
      <x:c r="J255" s="65" t="str"/>
    </x:row>
    <x:row r="256">
      <x:c r="A256" s="54" t="str">
        <x:v>ASM-0033</x:v>
      </x:c>
      <x:c r="B256" s="54" t="str">
        <x:v>EA</x:v>
      </x:c>
      <x:c r="C256" s="64"/>
      <x:c r="D256" s="54" t="str"/>
      <x:c r="E256" s="54" t="str">
        <x:v>RECONSTRUCTED</x:v>
      </x:c>
      <x:c r="F256" s="54" t="str">
        <x:v>MEDIUM</x:v>
      </x:c>
      <x:c r="G256" s="54" t="str">
        <x:v>RECON</x:v>
      </x:c>
      <x:c r="H256" s="54" t="str"/>
      <x:c r="I256" s="54" t="str">
        <x:v>KIT-LABEL</x:v>
      </x:c>
      <x:c r="J256" s="65" t="str"/>
    </x:row>
    <x:row r="257">
      <x:c r="A257" s="54" t="str">
        <x:v>ASM-0034</x:v>
      </x:c>
      <x:c r="B257" s="54" t="str">
        <x:v>EA</x:v>
      </x:c>
      <x:c r="C257" s="64"/>
      <x:c r="D257" s="54" t="str"/>
      <x:c r="E257" s="54" t="str">
        <x:v>RECONSTRUCTED</x:v>
      </x:c>
      <x:c r="F257" s="54" t="str">
        <x:v>MEDIUM</x:v>
      </x:c>
      <x:c r="G257" s="54" t="str">
        <x:v>RECON</x:v>
      </x:c>
      <x:c r="H257" s="54" t="str"/>
      <x:c r="I257" s="54" t="str">
        <x:v>KIT-LABEL</x:v>
      </x:c>
      <x:c r="J257" s="65" t="str"/>
    </x:row>
    <x:row r="258">
      <x:c r="A258" s="54" t="str">
        <x:v>PRT-0108</x:v>
      </x:c>
      <x:c r="B258" s="54" t="str">
        <x:v>EA</x:v>
      </x:c>
      <x:c r="C258" s="64"/>
      <x:c r="D258" s="54" t="str"/>
      <x:c r="E258" s="54" t="str">
        <x:v>RECONSTRUCTED</x:v>
      </x:c>
      <x:c r="F258" s="54" t="str">
        <x:v>MEDIUM</x:v>
      </x:c>
      <x:c r="G258" s="54" t="str">
        <x:v>RECON</x:v>
      </x:c>
      <x:c r="H258" s="54" t="str"/>
      <x:c r="I258" s="54" t="str">
        <x:v>PART-ID</x:v>
      </x:c>
      <x:c r="J258" s="65" t="str"/>
    </x:row>
    <x:row r="259">
      <x:c r="A259" s="54" t="str">
        <x:v>PKG-0006</x:v>
      </x:c>
      <x:c r="B259" s="54" t="str">
        <x:v>EA</x:v>
      </x:c>
      <x:c r="C259" s="64"/>
      <x:c r="D259" s="54" t="str"/>
      <x:c r="E259" s="54" t="str">
        <x:v>RECONSTRUCTED</x:v>
      </x:c>
      <x:c r="F259" s="54" t="str">
        <x:v>MEDIUM</x:v>
      </x:c>
      <x:c r="G259" s="54" t="str">
        <x:v>RECON</x:v>
      </x:c>
      <x:c r="H259" s="54" t="str"/>
      <x:c r="I259" s="54" t="str">
        <x:v>KIT-LABEL</x:v>
      </x:c>
      <x:c r="J259" s="65" t="str"/>
    </x:row>
    <x:row r="260">
      <x:c r="A260" s="54" t="str">
        <x:v>DOC-0001</x:v>
      </x:c>
      <x:c r="B260" s="54" t="str">
        <x:v>EA</x:v>
      </x:c>
      <x:c r="C260" s="64"/>
      <x:c r="D260" s="54" t="str"/>
      <x:c r="E260" s="54" t="str">
        <x:v>RECONSTRUCTED</x:v>
      </x:c>
      <x:c r="F260" s="54" t="str">
        <x:v>MEDIUM</x:v>
      </x:c>
      <x:c r="G260" s="54" t="str">
        <x:v>RECON</x:v>
      </x:c>
      <x:c r="H260" s="54" t="str"/>
      <x:c r="I260" s="54" t="str">
        <x:v>PART-ID</x:v>
      </x:c>
      <x:c r="J260" s="65" t="str"/>
    </x:row>
    <x:row r="261">
      <x:c r="A261" s="54" t="str">
        <x:v>PRT-0109</x:v>
      </x:c>
      <x:c r="B261" s="54" t="str">
        <x:v>EA</x:v>
      </x:c>
      <x:c r="C261" s="64" t="n">
        <x:v>14</x:v>
      </x:c>
      <x:c r="D261" s="54" t="str"/>
      <x:c r="E261" s="54" t="str">
        <x:v>RECOVERED</x:v>
      </x:c>
      <x:c r="F261" s="54" t="str">
        <x:v>MEDIUM</x:v>
      </x:c>
      <x:c r="G261" s="54" t="str">
        <x:v>QAR-TOOLS</x:v>
      </x:c>
      <x:c r="H261" s="54" t="str"/>
      <x:c r="I261" s="54" t="str">
        <x:v>PART-ID</x:v>
      </x:c>
      <x:c r="J261" s="65" t="str"/>
    </x:row>
    <x:row r="262">
      <x:c r="A262" s="54" t="str">
        <x:v>PRT-0110</x:v>
      </x:c>
      <x:c r="B262" s="54" t="str">
        <x:v>EA</x:v>
      </x:c>
      <x:c r="C262" s="64" t="n">
        <x:v>22</x:v>
      </x:c>
      <x:c r="D262" s="54" t="str"/>
      <x:c r="E262" s="54" t="str">
        <x:v>RECONSTRUCTED</x:v>
      </x:c>
      <x:c r="F262" s="54" t="str">
        <x:v>MEDIUM</x:v>
      </x:c>
      <x:c r="G262" s="54" t="str">
        <x:v>RECON</x:v>
      </x:c>
      <x:c r="H262" s="54" t="str"/>
      <x:c r="I262" s="54" t="str">
        <x:v>PART-ID</x:v>
      </x:c>
      <x:c r="J262" s="65" t="str"/>
    </x:row>
    <x:row r="263">
      <x:c r="A263" s="54" t="str">
        <x:v>PRT-0111</x:v>
      </x:c>
      <x:c r="B263" s="54" t="str">
        <x:v>EA</x:v>
      </x:c>
      <x:c r="C263" s="64"/>
      <x:c r="D263" s="54" t="str"/>
      <x:c r="E263" s="54" t="str">
        <x:v>RECOVERED</x:v>
      </x:c>
      <x:c r="F263" s="54" t="str">
        <x:v>MEDIUM</x:v>
      </x:c>
      <x:c r="G263" s="54" t="str">
        <x:v>QAR-TOOLS</x:v>
      </x:c>
      <x:c r="H263" s="54" t="str"/>
      <x:c r="I263" s="54" t="str">
        <x:v>PART-ID</x:v>
      </x:c>
      <x:c r="J263" s="65" t="str"/>
    </x:row>
    <x:row r="264">
      <x:c r="A264" s="54" t="str">
        <x:v>KIT-0027</x:v>
      </x:c>
      <x:c r="B264" s="54" t="str">
        <x:v>EA</x:v>
      </x:c>
      <x:c r="C264" s="64"/>
      <x:c r="D264" s="54" t="str"/>
      <x:c r="E264" s="54" t="str">
        <x:v>RECONSTRUCTED</x:v>
      </x:c>
      <x:c r="F264" s="54" t="str">
        <x:v>MEDIUM</x:v>
      </x:c>
      <x:c r="G264" s="54" t="str">
        <x:v>RECON</x:v>
      </x:c>
      <x:c r="H264" s="54" t="str"/>
      <x:c r="I264" s="54" t="str">
        <x:v>KIT-LABEL</x:v>
      </x:c>
      <x:c r="J264" s="65" t="str"/>
    </x:row>
    <x:row r="265">
      <x:c r="A265" s="54" t="str">
        <x:v>QAR-0053</x:v>
      </x:c>
      <x:c r="B265" s="54" t="str">
        <x:v>EA</x:v>
      </x:c>
      <x:c r="C265" s="64"/>
      <x:c r="D265" s="54" t="str"/>
      <x:c r="E265" s="54" t="str">
        <x:v>FICTIONAL</x:v>
      </x:c>
      <x:c r="F265" s="54" t="str">
        <x:v>LOW</x:v>
      </x:c>
      <x:c r="G265" s="54" t="str">
        <x:v>FICTION</x:v>
      </x:c>
      <x:c r="H265" s="54" t="str"/>
      <x:c r="I265" s="54" t="str">
        <x:v>KIT-LABEL</x:v>
      </x:c>
      <x:c r="J265" s="65" t="str">
        <x:v>The popular horned-skeleton flag attribution is not securely documented for Blackbeard; this is a clearly marked reconstruction prop.</x:v>
      </x:c>
    </x:row>
    <x:row r="266">
      <x:c r="A266" s="54" t="str">
        <x:v>ASM-0035</x:v>
      </x:c>
      <x:c r="B266" s="54" t="str">
        <x:v>EA</x:v>
      </x:c>
      <x:c r="C266" s="64" t="n">
        <x:v>7</x:v>
      </x:c>
      <x:c r="D266" s="54" t="str"/>
      <x:c r="E266" s="54" t="str">
        <x:v>RECONSTRUCTED</x:v>
      </x:c>
      <x:c r="F266" s="54" t="str">
        <x:v>MEDIUM</x:v>
      </x:c>
      <x:c r="G266" s="54" t="str">
        <x:v>RECON</x:v>
      </x:c>
      <x:c r="H266" s="54" t="str"/>
      <x:c r="I266" s="54" t="str">
        <x:v>KIT-LABEL</x:v>
      </x:c>
      <x:c r="J266" s="65" t="str"/>
    </x:row>
    <x:row r="267">
      <x:c r="A267" s="54" t="str">
        <x:v>ASM-0036</x:v>
      </x:c>
      <x:c r="B267" s="54" t="str">
        <x:v>EA</x:v>
      </x:c>
      <x:c r="C267" s="64" t="n">
        <x:v>180</x:v>
      </x:c>
      <x:c r="D267" s="54" t="str"/>
      <x:c r="E267" s="54" t="str">
        <x:v>RECOVERED</x:v>
      </x:c>
      <x:c r="F267" s="54" t="str">
        <x:v>MEDIUM</x:v>
      </x:c>
      <x:c r="G267" s="54" t="str">
        <x:v>QAR-ARMS</x:v>
      </x:c>
      <x:c r="H267" s="54" t="str"/>
      <x:c r="I267" s="54" t="str">
        <x:v>KIT-LABEL</x:v>
      </x:c>
      <x:c r="J267" s="65" t="str"/>
    </x:row>
    <x:row r="268">
      <x:c r="A268" s="54" t="str">
        <x:v>KIT-0028</x:v>
      </x:c>
      <x:c r="B268" s="54" t="str">
        <x:v>EA</x:v>
      </x:c>
      <x:c r="C268" s="64"/>
      <x:c r="D268" s="54" t="str"/>
      <x:c r="E268" s="54" t="str">
        <x:v>RECONSTRUCTED</x:v>
      </x:c>
      <x:c r="F268" s="54" t="str">
        <x:v>MEDIUM</x:v>
      </x:c>
      <x:c r="G268" s="54" t="str">
        <x:v>QAR-TOOLS</x:v>
      </x:c>
      <x:c r="H268" s="54" t="str"/>
      <x:c r="I268" s="54" t="str">
        <x:v>KIT-LABEL</x:v>
      </x:c>
      <x:c r="J268" s="65" t="str"/>
    </x:row>
    <x:row r="269">
      <x:c r="A269" s="54" t="str">
        <x:v>KIT-0029</x:v>
      </x:c>
      <x:c r="B269" s="54" t="str">
        <x:v>EA</x:v>
      </x:c>
      <x:c r="C269" s="64"/>
      <x:c r="D269" s="54" t="str"/>
      <x:c r="E269" s="54" t="str">
        <x:v>RECONSTRUCTED</x:v>
      </x:c>
      <x:c r="F269" s="54" t="str">
        <x:v>MEDIUM</x:v>
      </x:c>
      <x:c r="G269" s="54" t="str">
        <x:v>RECON</x:v>
      </x:c>
      <x:c r="H269" s="54" t="str"/>
      <x:c r="I269" s="54" t="str">
        <x:v>KIT-LABEL</x:v>
      </x:c>
      <x:c r="J269" s="65" t="str"/>
    </x:row>
    <x:row r="270">
      <x:c r="A270" s="54" t="str">
        <x:v>KIT-0030</x:v>
      </x:c>
      <x:c r="B270" s="54" t="str">
        <x:v>EA</x:v>
      </x:c>
      <x:c r="C270" s="64"/>
      <x:c r="D270" s="54" t="str"/>
      <x:c r="E270" s="54" t="str">
        <x:v>RECONSTRUCTED</x:v>
      </x:c>
      <x:c r="F270" s="54" t="str">
        <x:v>MEDIUM</x:v>
      </x:c>
      <x:c r="G270" s="54" t="str">
        <x:v>RECON</x:v>
      </x:c>
      <x:c r="H270" s="54" t="str"/>
      <x:c r="I270" s="54" t="str">
        <x:v>KIT-LABEL</x:v>
      </x:c>
      <x:c r="J270" s="65" t="str"/>
    </x:row>
    <x:row r="271">
      <x:c r="A271" s="54" t="str">
        <x:v>OFT-0017</x:v>
      </x:c>
      <x:c r="B271" s="54" t="str">
        <x:v>EA</x:v>
      </x:c>
      <x:c r="C271" s="64"/>
      <x:c r="D271" s="54" t="str"/>
      <x:c r="E271" s="54" t="str">
        <x:v>RECONSTRUCTED</x:v>
      </x:c>
      <x:c r="F271" s="54" t="str">
        <x:v>MEDIUM</x:v>
      </x:c>
      <x:c r="G271" s="54" t="str">
        <x:v>RECON</x:v>
      </x:c>
      <x:c r="H271" s="54" t="str"/>
      <x:c r="I271" s="54" t="str">
        <x:v>KIT-LABEL</x:v>
      </x:c>
      <x:c r="J271" s="65" t="str"/>
    </x:row>
    <x:row r="272">
      <x:c r="A272" s="54" t="str">
        <x:v>PRT-0112</x:v>
      </x:c>
      <x:c r="B272" s="54" t="str">
        <x:v>EA</x:v>
      </x:c>
      <x:c r="C272" s="64" t="n">
        <x:v>7</x:v>
      </x:c>
      <x:c r="D272" s="54" t="str"/>
      <x:c r="E272" s="54" t="str">
        <x:v>RECONSTRUCTED</x:v>
      </x:c>
      <x:c r="F272" s="54" t="str">
        <x:v>MEDIUM</x:v>
      </x:c>
      <x:c r="G272" s="54" t="str">
        <x:v>RECON</x:v>
      </x:c>
      <x:c r="H272" s="54" t="str"/>
      <x:c r="I272" s="54" t="str">
        <x:v>PART-ID</x:v>
      </x:c>
      <x:c r="J272" s="65" t="str"/>
    </x:row>
    <x:row r="273">
      <x:c r="A273" s="54" t="str">
        <x:v>PRT-0113</x:v>
      </x:c>
      <x:c r="B273" s="54" t="str">
        <x:v>EA</x:v>
      </x:c>
      <x:c r="C273" s="64" t="n">
        <x:v>6</x:v>
      </x:c>
      <x:c r="D273" s="54" t="str"/>
      <x:c r="E273" s="54" t="str">
        <x:v>RECONSTRUCTED</x:v>
      </x:c>
      <x:c r="F273" s="54" t="str">
        <x:v>MEDIUM</x:v>
      </x:c>
      <x:c r="G273" s="54" t="str">
        <x:v>RECON</x:v>
      </x:c>
      <x:c r="H273" s="54" t="str"/>
      <x:c r="I273" s="54" t="str">
        <x:v>PART-ID</x:v>
      </x:c>
      <x:c r="J273" s="65" t="str"/>
    </x:row>
    <x:row r="274">
      <x:c r="A274" s="54" t="str">
        <x:v>PRT-0114</x:v>
      </x:c>
      <x:c r="B274" s="54" t="str">
        <x:v>EA</x:v>
      </x:c>
      <x:c r="C274" s="64" t="n">
        <x:v>18</x:v>
      </x:c>
      <x:c r="D274" s="54" t="str"/>
      <x:c r="E274" s="54" t="str">
        <x:v>RECONSTRUCTED</x:v>
      </x:c>
      <x:c r="F274" s="54" t="str">
        <x:v>MEDIUM</x:v>
      </x:c>
      <x:c r="G274" s="54" t="str">
        <x:v>RECON</x:v>
      </x:c>
      <x:c r="H274" s="54" t="str"/>
      <x:c r="I274" s="54" t="str">
        <x:v>PART-ID</x:v>
      </x:c>
      <x:c r="J274" s="65" t="str"/>
    </x:row>
    <x:row r="275">
      <x:c r="A275" s="54" t="str">
        <x:v>PRT-0115</x:v>
      </x:c>
      <x:c r="B275" s="54" t="str">
        <x:v>EA</x:v>
      </x:c>
      <x:c r="C275" s="64" t="n">
        <x:v>4</x:v>
      </x:c>
      <x:c r="D275" s="54" t="str"/>
      <x:c r="E275" s="54" t="str">
        <x:v>RECONSTRUCTED</x:v>
      </x:c>
      <x:c r="F275" s="54" t="str">
        <x:v>MEDIUM</x:v>
      </x:c>
      <x:c r="G275" s="54" t="str">
        <x:v>RECON</x:v>
      </x:c>
      <x:c r="H275" s="54" t="str"/>
      <x:c r="I275" s="54" t="str">
        <x:v>PART-ID</x:v>
      </x:c>
      <x:c r="J275" s="65" t="str"/>
    </x:row>
    <x:row r="276">
      <x:c r="A276" s="54" t="str">
        <x:v>KIT-0031</x:v>
      </x:c>
      <x:c r="B276" s="54" t="str">
        <x:v>EA</x:v>
      </x:c>
      <x:c r="C276" s="64" t="n">
        <x:v>28</x:v>
      </x:c>
      <x:c r="D276" s="54" t="str"/>
      <x:c r="E276" s="54" t="str">
        <x:v>RECONSTRUCTED</x:v>
      </x:c>
      <x:c r="F276" s="54" t="str">
        <x:v>MEDIUM</x:v>
      </x:c>
      <x:c r="G276" s="54" t="str">
        <x:v>RECON</x:v>
      </x:c>
      <x:c r="H276" s="54" t="str"/>
      <x:c r="I276" s="54" t="str">
        <x:v>KIT-LABEL</x:v>
      </x:c>
      <x:c r="J276" s="65" t="str"/>
    </x:row>
    <x:row r="277">
      <x:c r="A277" s="54" t="str">
        <x:v>KIT-0032</x:v>
      </x:c>
      <x:c r="B277" s="54" t="str">
        <x:v>EA</x:v>
      </x:c>
      <x:c r="C277" s="64" t="n">
        <x:v>14</x:v>
      </x:c>
      <x:c r="D277" s="54" t="str"/>
      <x:c r="E277" s="54" t="str">
        <x:v>RECOVERED</x:v>
      </x:c>
      <x:c r="F277" s="54" t="str">
        <x:v>MEDIUM</x:v>
      </x:c>
      <x:c r="G277" s="54" t="str">
        <x:v>QAR-TOOLS</x:v>
      </x:c>
      <x:c r="H277" s="54" t="str"/>
      <x:c r="I277" s="54" t="str">
        <x:v>KIT-LABEL</x:v>
      </x:c>
      <x:c r="J277" s="65" t="str"/>
    </x:row>
    <x:row r="278">
      <x:c r="A278" s="54" t="str">
        <x:v>PRT-0116</x:v>
      </x:c>
      <x:c r="B278" s="54" t="str">
        <x:v>EA</x:v>
      </x:c>
      <x:c r="C278" s="64" t="n">
        <x:v>3</x:v>
      </x:c>
      <x:c r="D278" s="54" t="str"/>
      <x:c r="E278" s="54" t="str">
        <x:v>RECONSTRUCTED</x:v>
      </x:c>
      <x:c r="F278" s="54" t="str">
        <x:v>MEDIUM</x:v>
      </x:c>
      <x:c r="G278" s="54" t="str">
        <x:v>RECON</x:v>
      </x:c>
      <x:c r="H278" s="54" t="str"/>
      <x:c r="I278" s="54" t="str">
        <x:v>PART-ID</x:v>
      </x:c>
      <x:c r="J278" s="65" t="str"/>
    </x:row>
    <x:row r="279">
      <x:c r="A279" s="54" t="str">
        <x:v>PRT-0117</x:v>
      </x:c>
      <x:c r="B279" s="54" t="str">
        <x:v>EA</x:v>
      </x:c>
      <x:c r="C279" s="64" t="n">
        <x:v>8</x:v>
      </x:c>
      <x:c r="D279" s="54" t="str"/>
      <x:c r="E279" s="54" t="str">
        <x:v>RECONSTRUCTED</x:v>
      </x:c>
      <x:c r="F279" s="54" t="str">
        <x:v>MEDIUM</x:v>
      </x:c>
      <x:c r="G279" s="54" t="str">
        <x:v>RECON</x:v>
      </x:c>
      <x:c r="H279" s="54" t="str"/>
      <x:c r="I279" s="54" t="str">
        <x:v>PART-ID</x:v>
      </x:c>
      <x:c r="J279" s="65" t="str"/>
    </x:row>
    <x:row r="280">
      <x:c r="A280" s="54" t="str">
        <x:v>PRT-0118</x:v>
      </x:c>
      <x:c r="B280" s="54" t="str">
        <x:v>EA</x:v>
      </x:c>
      <x:c r="C280" s="64" t="n">
        <x:v>18</x:v>
      </x:c>
      <x:c r="D280" s="54" t="str"/>
      <x:c r="E280" s="54" t="str">
        <x:v>RECONSTRUCTED</x:v>
      </x:c>
      <x:c r="F280" s="54" t="str">
        <x:v>MEDIUM</x:v>
      </x:c>
      <x:c r="G280" s="54" t="str">
        <x:v>RECON</x:v>
      </x:c>
      <x:c r="H280" s="54" t="str"/>
      <x:c r="I280" s="54" t="str">
        <x:v>PART-ID</x:v>
      </x:c>
      <x:c r="J280" s="65" t="str"/>
    </x:row>
    <x:row r="281">
      <x:c r="A281" s="54" t="str">
        <x:v>ASM-0037</x:v>
      </x:c>
      <x:c r="B281" s="54" t="str">
        <x:v>EA</x:v>
      </x:c>
      <x:c r="C281" s="64" t="n">
        <x:v>80</x:v>
      </x:c>
      <x:c r="D281" s="54" t="str"/>
      <x:c r="E281" s="54" t="str">
        <x:v>RECOVERED</x:v>
      </x:c>
      <x:c r="F281" s="54" t="str">
        <x:v>MEDIUM</x:v>
      </x:c>
      <x:c r="G281" s="54" t="str">
        <x:v>QAR-TOOLS</x:v>
      </x:c>
      <x:c r="H281" s="54" t="str"/>
      <x:c r="I281" s="54" t="str">
        <x:v>KIT-LABEL</x:v>
      </x:c>
      <x:c r="J281" s="65" t="str"/>
    </x:row>
    <x:row r="282">
      <x:c r="A282" s="54" t="str">
        <x:v>ASM-0038</x:v>
      </x:c>
      <x:c r="B282" s="54" t="str">
        <x:v>EA</x:v>
      </x:c>
      <x:c r="C282" s="64" t="n">
        <x:v>95</x:v>
      </x:c>
      <x:c r="D282" s="54" t="str"/>
      <x:c r="E282" s="54" t="str">
        <x:v>RECOVERED</x:v>
      </x:c>
      <x:c r="F282" s="54" t="str">
        <x:v>MEDIUM</x:v>
      </x:c>
      <x:c r="G282" s="54" t="str">
        <x:v>QAR-TOOLS</x:v>
      </x:c>
      <x:c r="H282" s="54" t="str"/>
      <x:c r="I282" s="54" t="str">
        <x:v>KIT-LABEL</x:v>
      </x:c>
      <x:c r="J282" s="65" t="str"/>
    </x:row>
    <x:row r="283">
      <x:c r="A283" s="54" t="str">
        <x:v>PRT-0119</x:v>
      </x:c>
      <x:c r="B283" s="54" t="str">
        <x:v>EA</x:v>
      </x:c>
      <x:c r="C283" s="64" t="n">
        <x:v>2</x:v>
      </x:c>
      <x:c r="D283" s="54" t="str"/>
      <x:c r="E283" s="54" t="str">
        <x:v>RECONSTRUCTED</x:v>
      </x:c>
      <x:c r="F283" s="54" t="str">
        <x:v>MEDIUM</x:v>
      </x:c>
      <x:c r="G283" s="54" t="str">
        <x:v>RECON</x:v>
      </x:c>
      <x:c r="H283" s="54" t="str"/>
      <x:c r="I283" s="54" t="str">
        <x:v>PART-ID</x:v>
      </x:c>
      <x:c r="J283" s="65" t="str"/>
    </x:row>
    <x:row r="284">
      <x:c r="A284" s="54" t="str">
        <x:v>MAT-0010</x:v>
      </x:c>
      <x:c r="B284" s="54" t="str">
        <x:v>EA</x:v>
      </x:c>
      <x:c r="C284" s="64" t="n">
        <x:v>25</x:v>
      </x:c>
      <x:c r="D284" s="54" t="str"/>
      <x:c r="E284" s="54" t="str">
        <x:v>RECONSTRUCTED</x:v>
      </x:c>
      <x:c r="F284" s="54" t="str">
        <x:v>MEDIUM</x:v>
      </x:c>
      <x:c r="G284" s="54" t="str">
        <x:v>RECON</x:v>
      </x:c>
      <x:c r="H284" s="54" t="str"/>
      <x:c r="I284" s="54" t="str">
        <x:v>STORES-LABEL</x:v>
      </x:c>
      <x:c r="J284" s="65" t="str"/>
    </x:row>
    <x:row r="285">
      <x:c r="A285" s="54" t="str">
        <x:v>MAT-0011</x:v>
      </x:c>
      <x:c r="B285" s="54" t="str">
        <x:v>EA</x:v>
      </x:c>
      <x:c r="C285" s="64" t="n">
        <x:v>31</x:v>
      </x:c>
      <x:c r="D285" s="54" t="str"/>
      <x:c r="E285" s="54" t="str">
        <x:v>RECONSTRUCTED</x:v>
      </x:c>
      <x:c r="F285" s="54" t="str">
        <x:v>MEDIUM</x:v>
      </x:c>
      <x:c r="G285" s="54" t="str">
        <x:v>RECON</x:v>
      </x:c>
      <x:c r="H285" s="54" t="str">
        <x:v>COMBUSTIBLE</x:v>
      </x:c>
      <x:c r="I285" s="54" t="str">
        <x:v>STORES-LABEL</x:v>
      </x:c>
      <x:c r="J285" s="65" t="str"/>
    </x:row>
    <x:row r="286">
      <x:c r="A286" s="54" t="str">
        <x:v>PRT-0120</x:v>
      </x:c>
      <x:c r="B286" s="54" t="str">
        <x:v>EA</x:v>
      </x:c>
      <x:c r="C286" s="64" t="n">
        <x:v>45</x:v>
      </x:c>
      <x:c r="D286" s="54" t="str"/>
      <x:c r="E286" s="54" t="str">
        <x:v>RECONSTRUCTED</x:v>
      </x:c>
      <x:c r="F286" s="54" t="str">
        <x:v>MEDIUM</x:v>
      </x:c>
      <x:c r="G286" s="54" t="str">
        <x:v>RECON</x:v>
      </x:c>
      <x:c r="H286" s="54" t="str"/>
      <x:c r="I286" s="54" t="str">
        <x:v>PART-ID</x:v>
      </x:c>
      <x:c r="J286" s="65" t="str"/>
    </x:row>
    <x:row r="287">
      <x:c r="A287" s="54" t="str">
        <x:v>PRT-0121</x:v>
      </x:c>
      <x:c r="B287" s="54" t="str">
        <x:v>EA</x:v>
      </x:c>
      <x:c r="C287" s="64" t="n">
        <x:v>60</x:v>
      </x:c>
      <x:c r="D287" s="54" t="str"/>
      <x:c r="E287" s="54" t="str">
        <x:v>RECONSTRUCTED</x:v>
      </x:c>
      <x:c r="F287" s="54" t="str">
        <x:v>MEDIUM</x:v>
      </x:c>
      <x:c r="G287" s="54" t="str">
        <x:v>RECON</x:v>
      </x:c>
      <x:c r="H287" s="54" t="str"/>
      <x:c r="I287" s="54" t="str">
        <x:v>PART-ID</x:v>
      </x:c>
      <x:c r="J287" s="65" t="str"/>
    </x:row>
    <x:row r="288">
      <x:c r="A288" s="54" t="str">
        <x:v>PRT-0122</x:v>
      </x:c>
      <x:c r="B288" s="54" t="str">
        <x:v>EA</x:v>
      </x:c>
      <x:c r="C288" s="64" t="n">
        <x:v>220</x:v>
      </x:c>
      <x:c r="D288" s="54" t="str"/>
      <x:c r="E288" s="54" t="str">
        <x:v>RECONSTRUCTED</x:v>
      </x:c>
      <x:c r="F288" s="54" t="str">
        <x:v>MEDIUM</x:v>
      </x:c>
      <x:c r="G288" s="54" t="str">
        <x:v>RECON</x:v>
      </x:c>
      <x:c r="H288" s="54" t="str"/>
      <x:c r="I288" s="54" t="str">
        <x:v>PART-ID</x:v>
      </x:c>
      <x:c r="J288" s="65" t="str"/>
    </x:row>
    <x:row r="289">
      <x:c r="A289" s="54" t="str">
        <x:v>PRT-0123</x:v>
      </x:c>
      <x:c r="B289" s="54" t="str">
        <x:v>EA</x:v>
      </x:c>
      <x:c r="C289" s="64" t="n">
        <x:v>75</x:v>
      </x:c>
      <x:c r="D289" s="54" t="str"/>
      <x:c r="E289" s="54" t="str">
        <x:v>RECONSTRUCTED</x:v>
      </x:c>
      <x:c r="F289" s="54" t="str">
        <x:v>MEDIUM</x:v>
      </x:c>
      <x:c r="G289" s="54" t="str">
        <x:v>RECON</x:v>
      </x:c>
      <x:c r="H289" s="54" t="str"/>
      <x:c r="I289" s="54" t="str">
        <x:v>PART-ID</x:v>
      </x:c>
      <x:c r="J289" s="65" t="str"/>
    </x:row>
    <x:row r="290">
      <x:c r="A290" s="54" t="str">
        <x:v>KIT-0033</x:v>
      </x:c>
      <x:c r="B290" s="54" t="str">
        <x:v>EA</x:v>
      </x:c>
      <x:c r="C290" s="64"/>
      <x:c r="D290" s="54" t="str"/>
      <x:c r="E290" s="54" t="str">
        <x:v>RECONSTRUCTED</x:v>
      </x:c>
      <x:c r="F290" s="54" t="str">
        <x:v>MEDIUM</x:v>
      </x:c>
      <x:c r="G290" s="54" t="str">
        <x:v>RECON</x:v>
      </x:c>
      <x:c r="H290" s="54" t="str"/>
      <x:c r="I290" s="54" t="str">
        <x:v>KIT-LABEL</x:v>
      </x:c>
      <x:c r="J290" s="65" t="str"/>
    </x:row>
    <x:row r="291">
      <x:c r="A291" s="54" t="str">
        <x:v>KIT-0034</x:v>
      </x:c>
      <x:c r="B291" s="54" t="str">
        <x:v>EA</x:v>
      </x:c>
      <x:c r="C291" s="64"/>
      <x:c r="D291" s="54" t="str"/>
      <x:c r="E291" s="54" t="str">
        <x:v>RECONSTRUCTED</x:v>
      </x:c>
      <x:c r="F291" s="54" t="str">
        <x:v>MEDIUM</x:v>
      </x:c>
      <x:c r="G291" s="54" t="str">
        <x:v>RECON</x:v>
      </x:c>
      <x:c r="H291" s="54" t="str"/>
      <x:c r="I291" s="54" t="str">
        <x:v>KIT-LABEL</x:v>
      </x:c>
      <x:c r="J291" s="65" t="str"/>
    </x:row>
    <x:row r="292">
      <x:c r="A292" s="54" t="str">
        <x:v>OFT-0018</x:v>
      </x:c>
      <x:c r="B292" s="54" t="str">
        <x:v>EA</x:v>
      </x:c>
      <x:c r="C292" s="64"/>
      <x:c r="D292" s="54" t="str"/>
      <x:c r="E292" s="54" t="str">
        <x:v>RECONSTRUCTED</x:v>
      </x:c>
      <x:c r="F292" s="54" t="str">
        <x:v>MEDIUM</x:v>
      </x:c>
      <x:c r="G292" s="54" t="str">
        <x:v>RECON</x:v>
      </x:c>
      <x:c r="H292" s="54" t="str"/>
      <x:c r="I292" s="54" t="str">
        <x:v>KIT-LABEL</x:v>
      </x:c>
      <x:c r="J292" s="65" t="str"/>
    </x:row>
    <x:row r="293">
      <x:c r="A293" s="54" t="str">
        <x:v>OFT-0019</x:v>
      </x:c>
      <x:c r="B293" s="54" t="str">
        <x:v>EA</x:v>
      </x:c>
      <x:c r="C293" s="64"/>
      <x:c r="D293" s="54" t="str"/>
      <x:c r="E293" s="54" t="str">
        <x:v>RECONSTRUCTED</x:v>
      </x:c>
      <x:c r="F293" s="54" t="str">
        <x:v>MEDIUM</x:v>
      </x:c>
      <x:c r="G293" s="54" t="str">
        <x:v>RECON</x:v>
      </x:c>
      <x:c r="H293" s="54" t="str"/>
      <x:c r="I293" s="54" t="str">
        <x:v>KIT-LABEL</x:v>
      </x:c>
      <x:c r="J293" s="65" t="str"/>
    </x:row>
    <x:row r="294">
      <x:c r="A294" s="54" t="str">
        <x:v>PRT-0124</x:v>
      </x:c>
      <x:c r="B294" s="54" t="str">
        <x:v>EA</x:v>
      </x:c>
      <x:c r="C294" s="64" t="n">
        <x:v>0.1</x:v>
      </x:c>
      <x:c r="D294" s="54" t="str"/>
      <x:c r="E294" s="54" t="str">
        <x:v>RECOVERED</x:v>
      </x:c>
      <x:c r="F294" s="54" t="str">
        <x:v>MEDIUM</x:v>
      </x:c>
      <x:c r="G294" s="54" t="str">
        <x:v>QAR-TOOLS</x:v>
      </x:c>
      <x:c r="H294" s="54" t="str"/>
      <x:c r="I294" s="54" t="str">
        <x:v>PART-ID</x:v>
      </x:c>
      <x:c r="J294" s="65" t="str"/>
    </x:row>
    <x:row r="295">
      <x:c r="A295" s="54" t="str">
        <x:v>PRT-0125</x:v>
      </x:c>
      <x:c r="B295" s="54" t="str">
        <x:v>EA</x:v>
      </x:c>
      <x:c r="C295" s="64" t="n">
        <x:v>0.4</x:v>
      </x:c>
      <x:c r="D295" s="54" t="str"/>
      <x:c r="E295" s="54" t="str">
        <x:v>RECONSTRUCTED</x:v>
      </x:c>
      <x:c r="F295" s="54" t="str">
        <x:v>MEDIUM</x:v>
      </x:c>
      <x:c r="G295" s="54" t="str">
        <x:v>RECON</x:v>
      </x:c>
      <x:c r="H295" s="54" t="str"/>
      <x:c r="I295" s="54" t="str">
        <x:v>PART-ID</x:v>
      </x:c>
      <x:c r="J295" s="65" t="str"/>
    </x:row>
    <x:row r="296">
      <x:c r="A296" s="54" t="str">
        <x:v>MAT-0012</x:v>
      </x:c>
      <x:c r="B296" s="54" t="str">
        <x:v>EA</x:v>
      </x:c>
      <x:c r="C296" s="64" t="n">
        <x:v>1</x:v>
      </x:c>
      <x:c r="D296" s="54" t="str"/>
      <x:c r="E296" s="54" t="str">
        <x:v>RECONSTRUCTED</x:v>
      </x:c>
      <x:c r="F296" s="54" t="str">
        <x:v>MEDIUM</x:v>
      </x:c>
      <x:c r="G296" s="54" t="str">
        <x:v>RECON</x:v>
      </x:c>
      <x:c r="H296" s="54" t="str"/>
      <x:c r="I296" s="54" t="str">
        <x:v>STORES-LABEL</x:v>
      </x:c>
      <x:c r="J296" s="65" t="str"/>
    </x:row>
    <x:row r="297">
      <x:c r="A297" s="54" t="str">
        <x:v>PRT-0126</x:v>
      </x:c>
      <x:c r="B297" s="54" t="str">
        <x:v>EA</x:v>
      </x:c>
      <x:c r="C297" s="64" t="n">
        <x:v>4</x:v>
      </x:c>
      <x:c r="D297" s="54" t="str"/>
      <x:c r="E297" s="54" t="str">
        <x:v>RECONSTRUCTED</x:v>
      </x:c>
      <x:c r="F297" s="54" t="str">
        <x:v>MEDIUM</x:v>
      </x:c>
      <x:c r="G297" s="54" t="str">
        <x:v>RECON</x:v>
      </x:c>
      <x:c r="H297" s="54" t="str"/>
      <x:c r="I297" s="54" t="str">
        <x:v>PART-ID</x:v>
      </x:c>
      <x:c r="J297" s="65" t="str"/>
    </x:row>
    <x:row r="298">
      <x:c r="A298" s="54" t="str">
        <x:v>PRT-0127</x:v>
      </x:c>
      <x:c r="B298" s="54" t="str">
        <x:v>EA</x:v>
      </x:c>
      <x:c r="C298" s="64" t="n">
        <x:v>2</x:v>
      </x:c>
      <x:c r="D298" s="54" t="str"/>
      <x:c r="E298" s="54" t="str">
        <x:v>RECONSTRUCTED</x:v>
      </x:c>
      <x:c r="F298" s="54" t="str">
        <x:v>MEDIUM</x:v>
      </x:c>
      <x:c r="G298" s="54" t="str">
        <x:v>RECON</x:v>
      </x:c>
      <x:c r="H298" s="54" t="str"/>
      <x:c r="I298" s="54" t="str">
        <x:v>PART-ID</x:v>
      </x:c>
      <x:c r="J298" s="65" t="str"/>
    </x:row>
    <x:row r="299">
      <x:c r="A299" s="54" t="str">
        <x:v>PRT-0128</x:v>
      </x:c>
      <x:c r="B299" s="54" t="str">
        <x:v>EA</x:v>
      </x:c>
      <x:c r="C299" s="64" t="n">
        <x:v>1</x:v>
      </x:c>
      <x:c r="D299" s="54" t="str"/>
      <x:c r="E299" s="54" t="str">
        <x:v>RECONSTRUCTED</x:v>
      </x:c>
      <x:c r="F299" s="54" t="str">
        <x:v>MEDIUM</x:v>
      </x:c>
      <x:c r="G299" s="54" t="str">
        <x:v>RECON</x:v>
      </x:c>
      <x:c r="H299" s="54" t="str"/>
      <x:c r="I299" s="54" t="str">
        <x:v>PART-ID</x:v>
      </x:c>
      <x:c r="J299" s="65" t="str"/>
    </x:row>
    <x:row r="300">
      <x:c r="A300" s="54" t="str">
        <x:v>MAT-0013</x:v>
      </x:c>
      <x:c r="B300" s="54" t="str">
        <x:v>BOLT</x:v>
      </x:c>
      <x:c r="C300" s="64" t="n">
        <x:v>55</x:v>
      </x:c>
      <x:c r="D300" s="54" t="str"/>
      <x:c r="E300" s="54" t="str">
        <x:v>RECONSTRUCTED</x:v>
      </x:c>
      <x:c r="F300" s="54" t="str">
        <x:v>MEDIUM</x:v>
      </x:c>
      <x:c r="G300" s="54" t="str">
        <x:v>RECON</x:v>
      </x:c>
      <x:c r="H300" s="54" t="str"/>
      <x:c r="I300" s="54" t="str">
        <x:v>STORES-LABEL</x:v>
      </x:c>
      <x:c r="J300" s="65" t="str"/>
    </x:row>
    <x:row r="301">
      <x:c r="A301" s="54" t="str">
        <x:v>MAT-0014</x:v>
      </x:c>
      <x:c r="B301" s="54" t="str">
        <x:v>BOLT</x:v>
      </x:c>
      <x:c r="C301" s="64" t="n">
        <x:v>68</x:v>
      </x:c>
      <x:c r="D301" s="54" t="str"/>
      <x:c r="E301" s="54" t="str">
        <x:v>RECONSTRUCTED</x:v>
      </x:c>
      <x:c r="F301" s="54" t="str">
        <x:v>MEDIUM</x:v>
      </x:c>
      <x:c r="G301" s="54" t="str">
        <x:v>RECON</x:v>
      </x:c>
      <x:c r="H301" s="54" t="str"/>
      <x:c r="I301" s="54" t="str">
        <x:v>STORES-LABEL</x:v>
      </x:c>
      <x:c r="J301" s="65" t="str"/>
    </x:row>
    <x:row r="302">
      <x:c r="A302" s="54" t="str">
        <x:v>MAT-0015</x:v>
      </x:c>
      <x:c r="B302" s="54" t="str">
        <x:v>EA</x:v>
      </x:c>
      <x:c r="C302" s="64" t="n">
        <x:v>5</x:v>
      </x:c>
      <x:c r="D302" s="54" t="str"/>
      <x:c r="E302" s="54" t="str">
        <x:v>RECONSTRUCTED</x:v>
      </x:c>
      <x:c r="F302" s="54" t="str">
        <x:v>MEDIUM</x:v>
      </x:c>
      <x:c r="G302" s="54" t="str">
        <x:v>RECON</x:v>
      </x:c>
      <x:c r="H302" s="54" t="str"/>
      <x:c r="I302" s="54" t="str">
        <x:v>STORES-LABEL</x:v>
      </x:c>
      <x:c r="J302" s="65" t="str"/>
    </x:row>
    <x:row r="303">
      <x:c r="A303" s="54" t="str">
        <x:v>MAT-0016</x:v>
      </x:c>
      <x:c r="B303" s="54" t="str">
        <x:v>EA</x:v>
      </x:c>
      <x:c r="C303" s="64" t="n">
        <x:v>50</x:v>
      </x:c>
      <x:c r="D303" s="54" t="str"/>
      <x:c r="E303" s="54" t="str">
        <x:v>RECONSTRUCTED</x:v>
      </x:c>
      <x:c r="F303" s="54" t="str">
        <x:v>MEDIUM</x:v>
      </x:c>
      <x:c r="G303" s="54" t="str">
        <x:v>RECON</x:v>
      </x:c>
      <x:c r="H303" s="54" t="str"/>
      <x:c r="I303" s="54" t="str">
        <x:v>STORES-LABEL</x:v>
      </x:c>
      <x:c r="J303" s="65" t="str"/>
    </x:row>
    <x:row r="304">
      <x:c r="A304" s="54" t="str">
        <x:v>MAT-0017</x:v>
      </x:c>
      <x:c r="B304" s="54" t="str">
        <x:v>EA</x:v>
      </x:c>
      <x:c r="C304" s="64" t="n">
        <x:v>160</x:v>
      </x:c>
      <x:c r="D304" s="54" t="str"/>
      <x:c r="E304" s="54" t="str">
        <x:v>RECONSTRUCTED</x:v>
      </x:c>
      <x:c r="F304" s="54" t="str">
        <x:v>MEDIUM</x:v>
      </x:c>
      <x:c r="G304" s="54" t="str">
        <x:v>RECON</x:v>
      </x:c>
      <x:c r="H304" s="54" t="str"/>
      <x:c r="I304" s="54" t="str">
        <x:v>STORES-LABEL</x:v>
      </x:c>
      <x:c r="J304" s="65" t="str"/>
    </x:row>
    <x:row r="305">
      <x:c r="A305" s="54" t="str">
        <x:v>MAT-0018</x:v>
      </x:c>
      <x:c r="B305" s="54" t="str">
        <x:v>EA</x:v>
      </x:c>
      <x:c r="C305" s="64" t="n">
        <x:v>310</x:v>
      </x:c>
      <x:c r="D305" s="54" t="str"/>
      <x:c r="E305" s="54" t="str">
        <x:v>RECONSTRUCTED</x:v>
      </x:c>
      <x:c r="F305" s="54" t="str">
        <x:v>MEDIUM</x:v>
      </x:c>
      <x:c r="G305" s="54" t="str">
        <x:v>RECON</x:v>
      </x:c>
      <x:c r="H305" s="54" t="str"/>
      <x:c r="I305" s="54" t="str">
        <x:v>STORES-LABEL</x:v>
      </x:c>
      <x:c r="J305" s="65" t="str"/>
    </x:row>
    <x:row r="306">
      <x:c r="A306" s="54" t="str">
        <x:v>MAT-0019</x:v>
      </x:c>
      <x:c r="B306" s="54" t="str">
        <x:v>EA</x:v>
      </x:c>
      <x:c r="C306" s="64" t="n">
        <x:v>31</x:v>
      </x:c>
      <x:c r="D306" s="54" t="str"/>
      <x:c r="E306" s="54" t="str">
        <x:v>RECONSTRUCTED</x:v>
      </x:c>
      <x:c r="F306" s="54" t="str">
        <x:v>MEDIUM</x:v>
      </x:c>
      <x:c r="G306" s="54" t="str">
        <x:v>RECON</x:v>
      </x:c>
      <x:c r="H306" s="54" t="str">
        <x:v>COMBUSTIBLE</x:v>
      </x:c>
      <x:c r="I306" s="54" t="str">
        <x:v>STORES-LABEL</x:v>
      </x:c>
      <x:c r="J306" s="65" t="str"/>
    </x:row>
    <x:row r="307">
      <x:c r="A307" s="54" t="str">
        <x:v>KIT-0035</x:v>
      </x:c>
      <x:c r="B307" s="54" t="str">
        <x:v>EA</x:v>
      </x:c>
      <x:c r="C307" s="64"/>
      <x:c r="D307" s="54" t="str"/>
      <x:c r="E307" s="54" t="str">
        <x:v>RECONSTRUCTED</x:v>
      </x:c>
      <x:c r="F307" s="54" t="str">
        <x:v>MEDIUM</x:v>
      </x:c>
      <x:c r="G307" s="54" t="str">
        <x:v>QAR-TOOLS</x:v>
      </x:c>
      <x:c r="H307" s="54" t="str"/>
      <x:c r="I307" s="54" t="str">
        <x:v>KIT-LABEL</x:v>
      </x:c>
      <x:c r="J307" s="65" t="str"/>
    </x:row>
    <x:row r="308">
      <x:c r="A308" s="54" t="str">
        <x:v>KIT-0036</x:v>
      </x:c>
      <x:c r="B308" s="54" t="str">
        <x:v>EA</x:v>
      </x:c>
      <x:c r="C308" s="64"/>
      <x:c r="D308" s="54" t="str"/>
      <x:c r="E308" s="54" t="str">
        <x:v>RECONSTRUCTED</x:v>
      </x:c>
      <x:c r="F308" s="54" t="str">
        <x:v>MEDIUM</x:v>
      </x:c>
      <x:c r="G308" s="54" t="str">
        <x:v>QAR-TOOLS</x:v>
      </x:c>
      <x:c r="H308" s="54" t="str"/>
      <x:c r="I308" s="54" t="str">
        <x:v>KIT-LABEL</x:v>
      </x:c>
      <x:c r="J308" s="65" t="str"/>
    </x:row>
    <x:row r="309">
      <x:c r="A309" s="54" t="str">
        <x:v>KIT-0037</x:v>
      </x:c>
      <x:c r="B309" s="54" t="str">
        <x:v>EA</x:v>
      </x:c>
      <x:c r="C309" s="64"/>
      <x:c r="D309" s="54" t="str"/>
      <x:c r="E309" s="54" t="str">
        <x:v>RECONSTRUCTED</x:v>
      </x:c>
      <x:c r="F309" s="54" t="str">
        <x:v>MEDIUM</x:v>
      </x:c>
      <x:c r="G309" s="54" t="str">
        <x:v>RECON</x:v>
      </x:c>
      <x:c r="H309" s="54" t="str"/>
      <x:c r="I309" s="54" t="str">
        <x:v>KIT-LABEL</x:v>
      </x:c>
      <x:c r="J309" s="65" t="str"/>
    </x:row>
    <x:row r="310">
      <x:c r="A310" s="54" t="str">
        <x:v>OFT-0020</x:v>
      </x:c>
      <x:c r="B310" s="54" t="str">
        <x:v>EA</x:v>
      </x:c>
      <x:c r="C310" s="64"/>
      <x:c r="D310" s="54" t="str"/>
      <x:c r="E310" s="54" t="str">
        <x:v>RECONSTRUCTED</x:v>
      </x:c>
      <x:c r="F310" s="54" t="str">
        <x:v>MEDIUM</x:v>
      </x:c>
      <x:c r="G310" s="54" t="str">
        <x:v>RECON</x:v>
      </x:c>
      <x:c r="H310" s="54" t="str"/>
      <x:c r="I310" s="54" t="str">
        <x:v>KIT-LABEL</x:v>
      </x:c>
      <x:c r="J310" s="65" t="str"/>
    </x:row>
    <x:row r="311">
      <x:c r="A311" s="54" t="str">
        <x:v>ASM-0039</x:v>
      </x:c>
      <x:c r="B311" s="54" t="str">
        <x:v>EA</x:v>
      </x:c>
      <x:c r="C311" s="64" t="n">
        <x:v>8</x:v>
      </x:c>
      <x:c r="D311" s="54" t="str"/>
      <x:c r="E311" s="54" t="str">
        <x:v>RECOVERED</x:v>
      </x:c>
      <x:c r="F311" s="54" t="str">
        <x:v>MEDIUM</x:v>
      </x:c>
      <x:c r="G311" s="54" t="str">
        <x:v>QAR-TOOLS</x:v>
      </x:c>
      <x:c r="H311" s="54" t="str"/>
      <x:c r="I311" s="54" t="str">
        <x:v>KIT-LABEL</x:v>
      </x:c>
      <x:c r="J311" s="65" t="str"/>
    </x:row>
    <x:row r="312">
      <x:c r="A312" s="54" t="str">
        <x:v>PRT-0129</x:v>
      </x:c>
      <x:c r="B312" s="54" t="str">
        <x:v>EA</x:v>
      </x:c>
      <x:c r="C312" s="64" t="n">
        <x:v>0.8</x:v>
      </x:c>
      <x:c r="D312" s="54" t="str"/>
      <x:c r="E312" s="54" t="str">
        <x:v>RECOVERED</x:v>
      </x:c>
      <x:c r="F312" s="54" t="str">
        <x:v>MEDIUM</x:v>
      </x:c>
      <x:c r="G312" s="54" t="str">
        <x:v>QAR-TOOLS</x:v>
      </x:c>
      <x:c r="H312" s="54" t="str"/>
      <x:c r="I312" s="54" t="str">
        <x:v>PART-ID</x:v>
      </x:c>
      <x:c r="J312" s="65" t="str"/>
    </x:row>
    <x:row r="313">
      <x:c r="A313" s="54" t="str">
        <x:v>PRT-0130</x:v>
      </x:c>
      <x:c r="B313" s="54" t="str">
        <x:v>EA</x:v>
      </x:c>
      <x:c r="C313" s="64" t="n">
        <x:v>2</x:v>
      </x:c>
      <x:c r="D313" s="54" t="str"/>
      <x:c r="E313" s="54" t="str">
        <x:v>RECONSTRUCTED</x:v>
      </x:c>
      <x:c r="F313" s="54" t="str">
        <x:v>MEDIUM</x:v>
      </x:c>
      <x:c r="G313" s="54" t="str">
        <x:v>RECON</x:v>
      </x:c>
      <x:c r="H313" s="54" t="str"/>
      <x:c r="I313" s="54" t="str">
        <x:v>PART-ID</x:v>
      </x:c>
      <x:c r="J313" s="65" t="str"/>
    </x:row>
    <x:row r="314">
      <x:c r="A314" s="54" t="str">
        <x:v>KIT-0038</x:v>
      </x:c>
      <x:c r="B314" s="54" t="str">
        <x:v>EA</x:v>
      </x:c>
      <x:c r="C314" s="64" t="n">
        <x:v>0.5</x:v>
      </x:c>
      <x:c r="D314" s="54" t="str"/>
      <x:c r="E314" s="54" t="str">
        <x:v>RECONSTRUCTED</x:v>
      </x:c>
      <x:c r="F314" s="54" t="str">
        <x:v>MEDIUM</x:v>
      </x:c>
      <x:c r="G314" s="54" t="str">
        <x:v>RECON</x:v>
      </x:c>
      <x:c r="H314" s="54" t="str"/>
      <x:c r="I314" s="54" t="str">
        <x:v>KIT-LABEL</x:v>
      </x:c>
      <x:c r="J314" s="65" t="str"/>
    </x:row>
    <x:row r="315">
      <x:c r="A315" s="54" t="str">
        <x:v>PRT-0131</x:v>
      </x:c>
      <x:c r="B315" s="54" t="str">
        <x:v>EA</x:v>
      </x:c>
      <x:c r="C315" s="64" t="n">
        <x:v>0.6</x:v>
      </x:c>
      <x:c r="D315" s="54" t="str"/>
      <x:c r="E315" s="54" t="str">
        <x:v>RECONSTRUCTED</x:v>
      </x:c>
      <x:c r="F315" s="54" t="str">
        <x:v>MEDIUM</x:v>
      </x:c>
      <x:c r="G315" s="54" t="str">
        <x:v>RECON</x:v>
      </x:c>
      <x:c r="H315" s="54" t="str"/>
      <x:c r="I315" s="54" t="str">
        <x:v>PART-ID</x:v>
      </x:c>
      <x:c r="J315" s="65" t="str"/>
    </x:row>
    <x:row r="316">
      <x:c r="A316" s="54" t="str">
        <x:v>KIT-0039</x:v>
      </x:c>
      <x:c r="B316" s="54" t="str">
        <x:v>EA</x:v>
      </x:c>
      <x:c r="C316" s="64" t="n">
        <x:v>0.5</x:v>
      </x:c>
      <x:c r="D316" s="54" t="str"/>
      <x:c r="E316" s="54" t="str">
        <x:v>RECONSTRUCTED</x:v>
      </x:c>
      <x:c r="F316" s="54" t="str">
        <x:v>MEDIUM</x:v>
      </x:c>
      <x:c r="G316" s="54" t="str">
        <x:v>RECON</x:v>
      </x:c>
      <x:c r="H316" s="54" t="str"/>
      <x:c r="I316" s="54" t="str">
        <x:v>KIT-LABEL</x:v>
      </x:c>
      <x:c r="J316" s="65" t="str"/>
    </x:row>
    <x:row r="317">
      <x:c r="A317" s="54" t="str">
        <x:v>PRT-0132</x:v>
      </x:c>
      <x:c r="B317" s="54" t="str">
        <x:v>EA</x:v>
      </x:c>
      <x:c r="C317" s="64" t="n">
        <x:v>2</x:v>
      </x:c>
      <x:c r="D317" s="54" t="str"/>
      <x:c r="E317" s="54" t="str">
        <x:v>RECONSTRUCTED</x:v>
      </x:c>
      <x:c r="F317" s="54" t="str">
        <x:v>MEDIUM</x:v>
      </x:c>
      <x:c r="G317" s="54" t="str">
        <x:v>RECON</x:v>
      </x:c>
      <x:c r="H317" s="54" t="str"/>
      <x:c r="I317" s="54" t="str">
        <x:v>PART-ID</x:v>
      </x:c>
      <x:c r="J317" s="65" t="str"/>
    </x:row>
    <x:row r="318">
      <x:c r="A318" s="54" t="str">
        <x:v>MAT-0020</x:v>
      </x:c>
      <x:c r="B318" s="54" t="str">
        <x:v>EA</x:v>
      </x:c>
      <x:c r="C318" s="64" t="n">
        <x:v>0.5</x:v>
      </x:c>
      <x:c r="D318" s="54" t="str"/>
      <x:c r="E318" s="54" t="str">
        <x:v>RECONSTRUCTED</x:v>
      </x:c>
      <x:c r="F318" s="54" t="str">
        <x:v>MEDIUM</x:v>
      </x:c>
      <x:c r="G318" s="54" t="str">
        <x:v>RECON</x:v>
      </x:c>
      <x:c r="H318" s="54" t="str"/>
      <x:c r="I318" s="54" t="str">
        <x:v>STORES-LABEL</x:v>
      </x:c>
      <x:c r="J318" s="65" t="str"/>
    </x:row>
    <x:row r="319">
      <x:c r="A319" s="54" t="str">
        <x:v>MAT-0021</x:v>
      </x:c>
      <x:c r="B319" s="54" t="str">
        <x:v>EA</x:v>
      </x:c>
      <x:c r="C319" s="64" t="n">
        <x:v>1</x:v>
      </x:c>
      <x:c r="D319" s="54" t="str"/>
      <x:c r="E319" s="54" t="str">
        <x:v>RECONSTRUCTED</x:v>
      </x:c>
      <x:c r="F319" s="54" t="str">
        <x:v>MEDIUM</x:v>
      </x:c>
      <x:c r="G319" s="54" t="str">
        <x:v>RECON</x:v>
      </x:c>
      <x:c r="H319" s="54" t="str"/>
      <x:c r="I319" s="54" t="str">
        <x:v>STORES-LABEL</x:v>
      </x:c>
      <x:c r="J319" s="65" t="str"/>
    </x:row>
    <x:row r="320">
      <x:c r="A320" s="54" t="str">
        <x:v>PRT-0133</x:v>
      </x:c>
      <x:c r="B320" s="54" t="str">
        <x:v>EA</x:v>
      </x:c>
      <x:c r="C320" s="64" t="n">
        <x:v>0.4</x:v>
      </x:c>
      <x:c r="D320" s="54" t="str"/>
      <x:c r="E320" s="54" t="str">
        <x:v>RECONSTRUCTED</x:v>
      </x:c>
      <x:c r="F320" s="54" t="str">
        <x:v>MEDIUM</x:v>
      </x:c>
      <x:c r="G320" s="54" t="str">
        <x:v>RECON</x:v>
      </x:c>
      <x:c r="H320" s="54" t="str"/>
      <x:c r="I320" s="54" t="str">
        <x:v>PART-ID</x:v>
      </x:c>
      <x:c r="J320" s="65" t="str"/>
    </x:row>
    <x:row r="321">
      <x:c r="A321" s="54" t="str">
        <x:v>PKG-0007</x:v>
      </x:c>
      <x:c r="B321" s="54" t="str">
        <x:v>EA</x:v>
      </x:c>
      <x:c r="C321" s="64" t="n">
        <x:v>1</x:v>
      </x:c>
      <x:c r="D321" s="54" t="str"/>
      <x:c r="E321" s="54" t="str">
        <x:v>RECOVERED</x:v>
      </x:c>
      <x:c r="F321" s="54" t="str">
        <x:v>MEDIUM</x:v>
      </x:c>
      <x:c r="G321" s="54" t="str">
        <x:v>QAR-SUST</x:v>
      </x:c>
      <x:c r="H321" s="54" t="str"/>
      <x:c r="I321" s="54" t="str">
        <x:v>KIT-LABEL</x:v>
      </x:c>
      <x:c r="J321" s="65" t="str"/>
    </x:row>
    <x:row r="322">
      <x:c r="A322" s="54" t="str">
        <x:v>PKG-0008</x:v>
      </x:c>
      <x:c r="B322" s="54" t="str">
        <x:v>EA</x:v>
      </x:c>
      <x:c r="C322" s="64" t="n">
        <x:v>1.5</x:v>
      </x:c>
      <x:c r="D322" s="54" t="str"/>
      <x:c r="E322" s="54" t="str">
        <x:v>RECONSTRUCTED</x:v>
      </x:c>
      <x:c r="F322" s="54" t="str">
        <x:v>MEDIUM</x:v>
      </x:c>
      <x:c r="G322" s="54" t="str">
        <x:v>RECON</x:v>
      </x:c>
      <x:c r="H322" s="54" t="str"/>
      <x:c r="I322" s="54" t="str">
        <x:v>KIT-LABEL</x:v>
      </x:c>
      <x:c r="J322" s="65" t="str"/>
    </x:row>
    <x:row r="323">
      <x:c r="A323" s="54" t="str">
        <x:v>MAT-0022</x:v>
      </x:c>
      <x:c r="B323" s="54" t="str">
        <x:v>EA</x:v>
      </x:c>
      <x:c r="C323" s="64" t="n">
        <x:v>2</x:v>
      </x:c>
      <x:c r="D323" s="54" t="str"/>
      <x:c r="E323" s="54" t="str">
        <x:v>RECONSTRUCTED</x:v>
      </x:c>
      <x:c r="F323" s="54" t="str">
        <x:v>MEDIUM</x:v>
      </x:c>
      <x:c r="G323" s="54" t="str">
        <x:v>RECON</x:v>
      </x:c>
      <x:c r="H323" s="54" t="str">
        <x:v>MEDICINE</x:v>
      </x:c>
      <x:c r="I323" s="54" t="str">
        <x:v>STORES-LABEL</x:v>
      </x:c>
      <x:c r="J323" s="65" t="str"/>
    </x:row>
    <x:row r="324">
      <x:c r="A324" s="54" t="str">
        <x:v>MAT-0023</x:v>
      </x:c>
      <x:c r="B324" s="54" t="str">
        <x:v>EA</x:v>
      </x:c>
      <x:c r="C324" s="64" t="n">
        <x:v>3</x:v>
      </x:c>
      <x:c r="D324" s="54" t="str"/>
      <x:c r="E324" s="54" t="str">
        <x:v>RECONSTRUCTED</x:v>
      </x:c>
      <x:c r="F324" s="54" t="str">
        <x:v>MEDIUM</x:v>
      </x:c>
      <x:c r="G324" s="54" t="str">
        <x:v>RECON</x:v>
      </x:c>
      <x:c r="H324" s="54" t="str"/>
      <x:c r="I324" s="54" t="str">
        <x:v>STORES-LABEL</x:v>
      </x:c>
      <x:c r="J324" s="65" t="str"/>
    </x:row>
    <x:row r="325">
      <x:c r="A325" s="54" t="str">
        <x:v>MAT-0024</x:v>
      </x:c>
      <x:c r="B325" s="54" t="str">
        <x:v>EA</x:v>
      </x:c>
      <x:c r="C325" s="64" t="n">
        <x:v>3</x:v>
      </x:c>
      <x:c r="D325" s="54" t="str"/>
      <x:c r="E325" s="54" t="str">
        <x:v>RECONSTRUCTED</x:v>
      </x:c>
      <x:c r="F325" s="54" t="str">
        <x:v>MEDIUM</x:v>
      </x:c>
      <x:c r="G325" s="54" t="str">
        <x:v>RECON</x:v>
      </x:c>
      <x:c r="H325" s="54" t="str">
        <x:v>TOXIC</x:v>
      </x:c>
      <x:c r="I325" s="54" t="str">
        <x:v>STORES-LABEL</x:v>
      </x:c>
      <x:c r="J325" s="65" t="str"/>
    </x:row>
    <x:row r="326">
      <x:c r="A326" s="54" t="str">
        <x:v>MAT-0025</x:v>
      </x:c>
      <x:c r="B326" s="54" t="str">
        <x:v>EA</x:v>
      </x:c>
      <x:c r="C326" s="64" t="n">
        <x:v>3</x:v>
      </x:c>
      <x:c r="D326" s="54" t="str"/>
      <x:c r="E326" s="54" t="str">
        <x:v>RECONSTRUCTED</x:v>
      </x:c>
      <x:c r="F326" s="54" t="str">
        <x:v>MEDIUM</x:v>
      </x:c>
      <x:c r="G326" s="54" t="str">
        <x:v>RECON</x:v>
      </x:c>
      <x:c r="H326" s="54" t="str"/>
      <x:c r="I326" s="54" t="str">
        <x:v>STORES-LABEL</x:v>
      </x:c>
      <x:c r="J326" s="65" t="str"/>
    </x:row>
    <x:row r="327">
      <x:c r="A327" s="54" t="str">
        <x:v>ASM-0040</x:v>
      </x:c>
      <x:c r="B327" s="54" t="str">
        <x:v>EA</x:v>
      </x:c>
      <x:c r="C327" s="64" t="n">
        <x:v>14</x:v>
      </x:c>
      <x:c r="D327" s="54" t="str"/>
      <x:c r="E327" s="54" t="str">
        <x:v>RECONSTRUCTED</x:v>
      </x:c>
      <x:c r="F327" s="54" t="str">
        <x:v>MEDIUM</x:v>
      </x:c>
      <x:c r="G327" s="54" t="str">
        <x:v>RECON</x:v>
      </x:c>
      <x:c r="H327" s="54" t="str"/>
      <x:c r="I327" s="54" t="str">
        <x:v>KIT-LABEL</x:v>
      </x:c>
      <x:c r="J327" s="65" t="str"/>
    </x:row>
    <x:row r="328">
      <x:c r="A328" s="54" t="str">
        <x:v>PRT-0134</x:v>
      </x:c>
      <x:c r="B328" s="54" t="str">
        <x:v>EA</x:v>
      </x:c>
      <x:c r="C328" s="64" t="n">
        <x:v>7</x:v>
      </x:c>
      <x:c r="D328" s="54" t="str"/>
      <x:c r="E328" s="54" t="str">
        <x:v>RECONSTRUCTED</x:v>
      </x:c>
      <x:c r="F328" s="54" t="str">
        <x:v>MEDIUM</x:v>
      </x:c>
      <x:c r="G328" s="54" t="str">
        <x:v>RECON</x:v>
      </x:c>
      <x:c r="H328" s="54" t="str"/>
      <x:c r="I328" s="54" t="str">
        <x:v>PART-ID</x:v>
      </x:c>
      <x:c r="J328" s="65" t="str"/>
    </x:row>
    <x:row r="329">
      <x:c r="A329" s="54" t="str">
        <x:v>LBL-0006</x:v>
      </x:c>
      <x:c r="B329" s="54" t="str">
        <x:v>EA</x:v>
      </x:c>
      <x:c r="C329" s="64"/>
      <x:c r="D329" s="54" t="str"/>
      <x:c r="E329" s="54" t="str">
        <x:v>FICTIONAL</x:v>
      </x:c>
      <x:c r="F329" s="54" t="str">
        <x:v>N/A</x:v>
      </x:c>
      <x:c r="G329" s="54" t="str">
        <x:v>FICTION</x:v>
      </x:c>
      <x:c r="H329" s="54" t="str">
        <x:v>MEDICINE</x:v>
      </x:c>
      <x:c r="I329" s="54" t="str">
        <x:v>MEDICAL-SEAL</x:v>
      </x:c>
      <x:c r="J329" s="65" t="str"/>
    </x:row>
    <x:row r="330">
      <x:c r="A330" s="54" t="str">
        <x:v>ASM-0041</x:v>
      </x:c>
      <x:c r="B330" s="54" t="str">
        <x:v>EA</x:v>
      </x:c>
      <x:c r="C330" s="64" t="n">
        <x:v>900</x:v>
      </x:c>
      <x:c r="D330" s="54" t="str"/>
      <x:c r="E330" s="54" t="str">
        <x:v>RECONSTRUCTED</x:v>
      </x:c>
      <x:c r="F330" s="54" t="str">
        <x:v>MEDIUM</x:v>
      </x:c>
      <x:c r="G330" s="54" t="str">
        <x:v>RECON</x:v>
      </x:c>
      <x:c r="H330" s="54" t="str"/>
      <x:c r="I330" s="54" t="str">
        <x:v>KIT-LABEL</x:v>
      </x:c>
      <x:c r="J330" s="65" t="str"/>
    </x:row>
    <x:row r="331">
      <x:c r="A331" s="54" t="str">
        <x:v>OFT-0021</x:v>
      </x:c>
      <x:c r="B331" s="54" t="str">
        <x:v>EA</x:v>
      </x:c>
      <x:c r="C331" s="64"/>
      <x:c r="D331" s="54" t="str"/>
      <x:c r="E331" s="54" t="str">
        <x:v>RECONSTRUCTED</x:v>
      </x:c>
      <x:c r="F331" s="54" t="str">
        <x:v>MEDIUM</x:v>
      </x:c>
      <x:c r="G331" s="54" t="str">
        <x:v>QAR-SUST</x:v>
      </x:c>
      <x:c r="H331" s="54" t="str"/>
      <x:c r="I331" s="54" t="str">
        <x:v>KIT-LABEL</x:v>
      </x:c>
      <x:c r="J331" s="65" t="str"/>
    </x:row>
    <x:row r="332">
      <x:c r="A332" s="54" t="str">
        <x:v>KIT-0040</x:v>
      </x:c>
      <x:c r="B332" s="54" t="str">
        <x:v>EA</x:v>
      </x:c>
      <x:c r="C332" s="64"/>
      <x:c r="D332" s="54" t="str"/>
      <x:c r="E332" s="54" t="str">
        <x:v>RECONSTRUCTED</x:v>
      </x:c>
      <x:c r="F332" s="54" t="str">
        <x:v>MEDIUM</x:v>
      </x:c>
      <x:c r="G332" s="54" t="str">
        <x:v>QAR-SUST</x:v>
      </x:c>
      <x:c r="H332" s="54" t="str"/>
      <x:c r="I332" s="54" t="str">
        <x:v>KIT-LABEL</x:v>
      </x:c>
      <x:c r="J332" s="65" t="str"/>
    </x:row>
    <x:row r="333">
      <x:c r="A333" s="54" t="str">
        <x:v>KIT-0041</x:v>
      </x:c>
      <x:c r="B333" s="54" t="str">
        <x:v>EA</x:v>
      </x:c>
      <x:c r="C333" s="64"/>
      <x:c r="D333" s="54" t="str"/>
      <x:c r="E333" s="54" t="str">
        <x:v>RECONSTRUCTED</x:v>
      </x:c>
      <x:c r="F333" s="54" t="str">
        <x:v>MEDIUM</x:v>
      </x:c>
      <x:c r="G333" s="54" t="str">
        <x:v>QAR-SUST</x:v>
      </x:c>
      <x:c r="H333" s="54" t="str"/>
      <x:c r="I333" s="54" t="str">
        <x:v>KIT-LABEL</x:v>
      </x:c>
      <x:c r="J333" s="65" t="str"/>
    </x:row>
    <x:row r="334">
      <x:c r="A334" s="54" t="str">
        <x:v>OFT-0022</x:v>
      </x:c>
      <x:c r="B334" s="54" t="str">
        <x:v>EA</x:v>
      </x:c>
      <x:c r="C334" s="64"/>
      <x:c r="D334" s="54" t="str"/>
      <x:c r="E334" s="54" t="str">
        <x:v>RECONSTRUCTED</x:v>
      </x:c>
      <x:c r="F334" s="54" t="str">
        <x:v>MEDIUM</x:v>
      </x:c>
      <x:c r="G334" s="54" t="str">
        <x:v>RECON</x:v>
      </x:c>
      <x:c r="H334" s="54" t="str"/>
      <x:c r="I334" s="54" t="str">
        <x:v>KIT-LABEL</x:v>
      </x:c>
      <x:c r="J334" s="65" t="str"/>
    </x:row>
    <x:row r="335">
      <x:c r="A335" s="54" t="str">
        <x:v>PRT-0135</x:v>
      </x:c>
      <x:c r="B335" s="54" t="str">
        <x:v>EA</x:v>
      </x:c>
      <x:c r="C335" s="64" t="n">
        <x:v>95</x:v>
      </x:c>
      <x:c r="D335" s="54" t="str"/>
      <x:c r="E335" s="54" t="str">
        <x:v>RECONSTRUCTED</x:v>
      </x:c>
      <x:c r="F335" s="54" t="str">
        <x:v>MEDIUM</x:v>
      </x:c>
      <x:c r="G335" s="54" t="str">
        <x:v>RECON</x:v>
      </x:c>
      <x:c r="H335" s="54" t="str"/>
      <x:c r="I335" s="54" t="str">
        <x:v>PART-ID</x:v>
      </x:c>
      <x:c r="J335" s="65" t="str"/>
    </x:row>
    <x:row r="336">
      <x:c r="A336" s="54" t="str">
        <x:v>PRT-0136</x:v>
      </x:c>
      <x:c r="B336" s="54" t="str">
        <x:v>EA</x:v>
      </x:c>
      <x:c r="C336" s="64" t="n">
        <x:v>18</x:v>
      </x:c>
      <x:c r="D336" s="54" t="str"/>
      <x:c r="E336" s="54" t="str">
        <x:v>RECONSTRUCTED</x:v>
      </x:c>
      <x:c r="F336" s="54" t="str">
        <x:v>MEDIUM</x:v>
      </x:c>
      <x:c r="G336" s="54" t="str">
        <x:v>RECON</x:v>
      </x:c>
      <x:c r="H336" s="54" t="str"/>
      <x:c r="I336" s="54" t="str">
        <x:v>PART-ID</x:v>
      </x:c>
      <x:c r="J336" s="65" t="str"/>
    </x:row>
    <x:row r="337">
      <x:c r="A337" s="54" t="str">
        <x:v>PRT-0137</x:v>
      </x:c>
      <x:c r="B337" s="54" t="str">
        <x:v>EA</x:v>
      </x:c>
      <x:c r="C337" s="64" t="n">
        <x:v>24</x:v>
      </x:c>
      <x:c r="D337" s="54" t="str"/>
      <x:c r="E337" s="54" t="str">
        <x:v>RECONSTRUCTED</x:v>
      </x:c>
      <x:c r="F337" s="54" t="str">
        <x:v>MEDIUM</x:v>
      </x:c>
      <x:c r="G337" s="54" t="str">
        <x:v>RECON</x:v>
      </x:c>
      <x:c r="H337" s="54" t="str"/>
      <x:c r="I337" s="54" t="str">
        <x:v>PART-ID</x:v>
      </x:c>
      <x:c r="J337" s="65" t="str"/>
    </x:row>
    <x:row r="338">
      <x:c r="A338" s="54" t="str">
        <x:v>PRT-0138</x:v>
      </x:c>
      <x:c r="B338" s="54" t="str">
        <x:v>EA</x:v>
      </x:c>
      <x:c r="C338" s="64" t="n">
        <x:v>16</x:v>
      </x:c>
      <x:c r="D338" s="54" t="str"/>
      <x:c r="E338" s="54" t="str">
        <x:v>RECONSTRUCTED</x:v>
      </x:c>
      <x:c r="F338" s="54" t="str">
        <x:v>MEDIUM</x:v>
      </x:c>
      <x:c r="G338" s="54" t="str">
        <x:v>RECON</x:v>
      </x:c>
      <x:c r="H338" s="54" t="str"/>
      <x:c r="I338" s="54" t="str">
        <x:v>PART-ID</x:v>
      </x:c>
      <x:c r="J338" s="65" t="str"/>
    </x:row>
    <x:row r="339">
      <x:c r="A339" s="54" t="str">
        <x:v>PRT-0139</x:v>
      </x:c>
      <x:c r="B339" s="54" t="str">
        <x:v>EA</x:v>
      </x:c>
      <x:c r="C339" s="64" t="n">
        <x:v>3</x:v>
      </x:c>
      <x:c r="D339" s="54" t="str"/>
      <x:c r="E339" s="54" t="str">
        <x:v>RECONSTRUCTED</x:v>
      </x:c>
      <x:c r="F339" s="54" t="str">
        <x:v>MEDIUM</x:v>
      </x:c>
      <x:c r="G339" s="54" t="str">
        <x:v>RECON</x:v>
      </x:c>
      <x:c r="H339" s="54" t="str"/>
      <x:c r="I339" s="54" t="str">
        <x:v>PART-ID</x:v>
      </x:c>
      <x:c r="J339" s="65" t="str"/>
    </x:row>
    <x:row r="340">
      <x:c r="A340" s="54" t="str">
        <x:v>PRT-0140</x:v>
      </x:c>
      <x:c r="B340" s="54" t="str">
        <x:v>EA</x:v>
      </x:c>
      <x:c r="C340" s="64" t="n">
        <x:v>1.5</x:v>
      </x:c>
      <x:c r="D340" s="54" t="str"/>
      <x:c r="E340" s="54" t="str">
        <x:v>RECONSTRUCTED</x:v>
      </x:c>
      <x:c r="F340" s="54" t="str">
        <x:v>MEDIUM</x:v>
      </x:c>
      <x:c r="G340" s="54" t="str">
        <x:v>RECON</x:v>
      </x:c>
      <x:c r="H340" s="54" t="str"/>
      <x:c r="I340" s="54" t="str">
        <x:v>PART-ID</x:v>
      </x:c>
      <x:c r="J340" s="65" t="str"/>
    </x:row>
    <x:row r="341">
      <x:c r="A341" s="54" t="str">
        <x:v>PRT-0141</x:v>
      </x:c>
      <x:c r="B341" s="54" t="str">
        <x:v>EA</x:v>
      </x:c>
      <x:c r="C341" s="64" t="n">
        <x:v>2.5</x:v>
      </x:c>
      <x:c r="D341" s="54" t="str"/>
      <x:c r="E341" s="54" t="str">
        <x:v>RECONSTRUCTED</x:v>
      </x:c>
      <x:c r="F341" s="54" t="str">
        <x:v>MEDIUM</x:v>
      </x:c>
      <x:c r="G341" s="54" t="str">
        <x:v>RECON</x:v>
      </x:c>
      <x:c r="H341" s="54" t="str"/>
      <x:c r="I341" s="54" t="str">
        <x:v>PART-ID</x:v>
      </x:c>
      <x:c r="J341" s="65" t="str"/>
    </x:row>
    <x:row r="342">
      <x:c r="A342" s="54" t="str">
        <x:v>PRT-0142</x:v>
      </x:c>
      <x:c r="B342" s="54" t="str">
        <x:v>EA</x:v>
      </x:c>
      <x:c r="C342" s="64" t="n">
        <x:v>1.4</x:v>
      </x:c>
      <x:c r="D342" s="54" t="str"/>
      <x:c r="E342" s="54" t="str">
        <x:v>RECOVERED</x:v>
      </x:c>
      <x:c r="F342" s="54" t="str">
        <x:v>MEDIUM</x:v>
      </x:c>
      <x:c r="G342" s="54" t="str">
        <x:v>QAR-SUST</x:v>
      </x:c>
      <x:c r="H342" s="54" t="str"/>
      <x:c r="I342" s="54" t="str">
        <x:v>PART-ID</x:v>
      </x:c>
      <x:c r="J342" s="65" t="str"/>
    </x:row>
    <x:row r="343">
      <x:c r="A343" s="54" t="str">
        <x:v>PRT-0143</x:v>
      </x:c>
      <x:c r="B343" s="54" t="str">
        <x:v>EA</x:v>
      </x:c>
      <x:c r="C343" s="64" t="n">
        <x:v>1.1</x:v>
      </x:c>
      <x:c r="D343" s="54" t="str"/>
      <x:c r="E343" s="54" t="str">
        <x:v>RECOVERED</x:v>
      </x:c>
      <x:c r="F343" s="54" t="str">
        <x:v>MEDIUM</x:v>
      </x:c>
      <x:c r="G343" s="54" t="str">
        <x:v>QAR-SUST</x:v>
      </x:c>
      <x:c r="H343" s="54" t="str"/>
      <x:c r="I343" s="54" t="str">
        <x:v>PART-ID</x:v>
      </x:c>
      <x:c r="J343" s="65" t="str"/>
    </x:row>
    <x:row r="344">
      <x:c r="A344" s="54" t="str">
        <x:v>PRT-0144</x:v>
      </x:c>
      <x:c r="B344" s="54" t="str">
        <x:v>EA</x:v>
      </x:c>
      <x:c r="C344" s="64" t="n">
        <x:v>0.2</x:v>
      </x:c>
      <x:c r="D344" s="54" t="str"/>
      <x:c r="E344" s="54" t="str">
        <x:v>RECOVERED</x:v>
      </x:c>
      <x:c r="F344" s="54" t="str">
        <x:v>MEDIUM</x:v>
      </x:c>
      <x:c r="G344" s="54" t="str">
        <x:v>QAR-SUST</x:v>
      </x:c>
      <x:c r="H344" s="54" t="str"/>
      <x:c r="I344" s="54" t="str">
        <x:v>PART-ID</x:v>
      </x:c>
      <x:c r="J344" s="65" t="str"/>
    </x:row>
    <x:row r="345">
      <x:c r="A345" s="54" t="str">
        <x:v>PRT-0145</x:v>
      </x:c>
      <x:c r="B345" s="54" t="str">
        <x:v>EA</x:v>
      </x:c>
      <x:c r="C345" s="64" t="n">
        <x:v>0.8</x:v>
      </x:c>
      <x:c r="D345" s="54" t="str"/>
      <x:c r="E345" s="54" t="str">
        <x:v>RECONSTRUCTED</x:v>
      </x:c>
      <x:c r="F345" s="54" t="str">
        <x:v>MEDIUM</x:v>
      </x:c>
      <x:c r="G345" s="54" t="str">
        <x:v>RECON</x:v>
      </x:c>
      <x:c r="H345" s="54" t="str"/>
      <x:c r="I345" s="54" t="str">
        <x:v>PART-ID</x:v>
      </x:c>
      <x:c r="J345" s="65" t="str"/>
    </x:row>
    <x:row r="346">
      <x:c r="A346" s="54" t="str">
        <x:v>PRT-0146</x:v>
      </x:c>
      <x:c r="B346" s="54" t="str">
        <x:v>EA</x:v>
      </x:c>
      <x:c r="C346" s="64" t="n">
        <x:v>0.5</x:v>
      </x:c>
      <x:c r="D346" s="54" t="str"/>
      <x:c r="E346" s="54" t="str">
        <x:v>RECONSTRUCTED</x:v>
      </x:c>
      <x:c r="F346" s="54" t="str">
        <x:v>MEDIUM</x:v>
      </x:c>
      <x:c r="G346" s="54" t="str">
        <x:v>RECON</x:v>
      </x:c>
      <x:c r="H346" s="54" t="str"/>
      <x:c r="I346" s="54" t="str">
        <x:v>PART-ID</x:v>
      </x:c>
      <x:c r="J346" s="65" t="str"/>
    </x:row>
    <x:row r="347">
      <x:c r="A347" s="54" t="str">
        <x:v>PRT-0147</x:v>
      </x:c>
      <x:c r="B347" s="54" t="str">
        <x:v>EA</x:v>
      </x:c>
      <x:c r="C347" s="64" t="n">
        <x:v>3</x:v>
      </x:c>
      <x:c r="D347" s="54" t="str"/>
      <x:c r="E347" s="54" t="str">
        <x:v>RECOVERED</x:v>
      </x:c>
      <x:c r="F347" s="54" t="str">
        <x:v>MEDIUM</x:v>
      </x:c>
      <x:c r="G347" s="54" t="str">
        <x:v>QAR-SUST</x:v>
      </x:c>
      <x:c r="H347" s="54" t="str"/>
      <x:c r="I347" s="54" t="str">
        <x:v>PART-ID</x:v>
      </x:c>
      <x:c r="J347" s="65" t="str"/>
    </x:row>
    <x:row r="348">
      <x:c r="A348" s="54" t="str">
        <x:v>PRT-0148</x:v>
      </x:c>
      <x:c r="B348" s="54" t="str">
        <x:v>EA</x:v>
      </x:c>
      <x:c r="C348" s="64" t="n">
        <x:v>0.4</x:v>
      </x:c>
      <x:c r="D348" s="54" t="str"/>
      <x:c r="E348" s="54" t="str">
        <x:v>RECOVERED</x:v>
      </x:c>
      <x:c r="F348" s="54" t="str">
        <x:v>MEDIUM</x:v>
      </x:c>
      <x:c r="G348" s="54" t="str">
        <x:v>QAR-SUST</x:v>
      </x:c>
      <x:c r="H348" s="54" t="str"/>
      <x:c r="I348" s="54" t="str">
        <x:v>PART-ID</x:v>
      </x:c>
      <x:c r="J348" s="65" t="str"/>
    </x:row>
    <x:row r="349">
      <x:c r="A349" s="54" t="str">
        <x:v>PRT-0149</x:v>
      </x:c>
      <x:c r="B349" s="54" t="str">
        <x:v>EA</x:v>
      </x:c>
      <x:c r="C349" s="64" t="n">
        <x:v>2</x:v>
      </x:c>
      <x:c r="D349" s="54" t="str"/>
      <x:c r="E349" s="54" t="str">
        <x:v>RECONSTRUCTED</x:v>
      </x:c>
      <x:c r="F349" s="54" t="str">
        <x:v>MEDIUM</x:v>
      </x:c>
      <x:c r="G349" s="54" t="str">
        <x:v>RECON</x:v>
      </x:c>
      <x:c r="H349" s="54" t="str"/>
      <x:c r="I349" s="54" t="str">
        <x:v>PART-ID</x:v>
      </x:c>
      <x:c r="J349" s="65" t="str"/>
    </x:row>
    <x:row r="350">
      <x:c r="A350" s="54" t="str">
        <x:v>PRT-0150</x:v>
      </x:c>
      <x:c r="B350" s="54" t="str">
        <x:v>EA</x:v>
      </x:c>
      <x:c r="C350" s="64" t="n">
        <x:v>5</x:v>
      </x:c>
      <x:c r="D350" s="54" t="str"/>
      <x:c r="E350" s="54" t="str">
        <x:v>RECONSTRUCTED</x:v>
      </x:c>
      <x:c r="F350" s="54" t="str">
        <x:v>MEDIUM</x:v>
      </x:c>
      <x:c r="G350" s="54" t="str">
        <x:v>RECON</x:v>
      </x:c>
      <x:c r="H350" s="54" t="str"/>
      <x:c r="I350" s="54" t="str">
        <x:v>PART-ID</x:v>
      </x:c>
      <x:c r="J350" s="65" t="str"/>
    </x:row>
    <x:row r="351">
      <x:c r="A351" s="54" t="str">
        <x:v>PKG-0009</x:v>
      </x:c>
      <x:c r="B351" s="54" t="str">
        <x:v>EA</x:v>
      </x:c>
      <x:c r="C351" s="64" t="n">
        <x:v>58</x:v>
      </x:c>
      <x:c r="D351" s="54" t="str"/>
      <x:c r="E351" s="54" t="str">
        <x:v>RECOVERED</x:v>
      </x:c>
      <x:c r="F351" s="54" t="str">
        <x:v>MEDIUM</x:v>
      </x:c>
      <x:c r="G351" s="54" t="str">
        <x:v>QAR-STOR</x:v>
      </x:c>
      <x:c r="H351" s="54" t="str"/>
      <x:c r="I351" s="54" t="str">
        <x:v>KIT-LABEL</x:v>
      </x:c>
      <x:c r="J351" s="65" t="str"/>
    </x:row>
    <x:row r="352">
      <x:c r="A352" s="54" t="str">
        <x:v>PKG-0010</x:v>
      </x:c>
      <x:c r="B352" s="54" t="str">
        <x:v>EA</x:v>
      </x:c>
      <x:c r="C352" s="64" t="n">
        <x:v>42</x:v>
      </x:c>
      <x:c r="D352" s="54" t="str"/>
      <x:c r="E352" s="54" t="str">
        <x:v>RECOVERED</x:v>
      </x:c>
      <x:c r="F352" s="54" t="str">
        <x:v>MEDIUM</x:v>
      </x:c>
      <x:c r="G352" s="54" t="str">
        <x:v>QAR-STOR</x:v>
      </x:c>
      <x:c r="H352" s="54" t="str"/>
      <x:c r="I352" s="54" t="str">
        <x:v>KIT-LABEL</x:v>
      </x:c>
      <x:c r="J352" s="65" t="str"/>
    </x:row>
    <x:row r="353">
      <x:c r="A353" s="54" t="str">
        <x:v>PKG-0011</x:v>
      </x:c>
      <x:c r="B353" s="54" t="str">
        <x:v>EA</x:v>
      </x:c>
      <x:c r="C353" s="64" t="n">
        <x:v>38</x:v>
      </x:c>
      <x:c r="D353" s="54" t="str"/>
      <x:c r="E353" s="54" t="str">
        <x:v>RECOVERED</x:v>
      </x:c>
      <x:c r="F353" s="54" t="str">
        <x:v>MEDIUM</x:v>
      </x:c>
      <x:c r="G353" s="54" t="str">
        <x:v>QAR-STOR</x:v>
      </x:c>
      <x:c r="H353" s="54" t="str"/>
      <x:c r="I353" s="54" t="str">
        <x:v>KIT-LABEL</x:v>
      </x:c>
      <x:c r="J353" s="65" t="str"/>
    </x:row>
    <x:row r="354">
      <x:c r="A354" s="54" t="str">
        <x:v>PKG-0012</x:v>
      </x:c>
      <x:c r="B354" s="54" t="str">
        <x:v>EA</x:v>
      </x:c>
      <x:c r="C354" s="64" t="n">
        <x:v>2</x:v>
      </x:c>
      <x:c r="D354" s="54" t="str"/>
      <x:c r="E354" s="54" t="str">
        <x:v>RECONSTRUCTED</x:v>
      </x:c>
      <x:c r="F354" s="54" t="str">
        <x:v>MEDIUM</x:v>
      </x:c>
      <x:c r="G354" s="54" t="str">
        <x:v>RECON</x:v>
      </x:c>
      <x:c r="H354" s="54" t="str"/>
      <x:c r="I354" s="54" t="str">
        <x:v>KIT-LABEL</x:v>
      </x:c>
      <x:c r="J354" s="65" t="str"/>
    </x:row>
    <x:row r="355">
      <x:c r="A355" s="54" t="str">
        <x:v>PKG-0013</x:v>
      </x:c>
      <x:c r="B355" s="54" t="str">
        <x:v>EA</x:v>
      </x:c>
      <x:c r="C355" s="64" t="n">
        <x:v>12</x:v>
      </x:c>
      <x:c r="D355" s="54" t="str"/>
      <x:c r="E355" s="54" t="str">
        <x:v>RECONSTRUCTED</x:v>
      </x:c>
      <x:c r="F355" s="54" t="str">
        <x:v>MEDIUM</x:v>
      </x:c>
      <x:c r="G355" s="54" t="str">
        <x:v>RECON</x:v>
      </x:c>
      <x:c r="H355" s="54" t="str"/>
      <x:c r="I355" s="54" t="str">
        <x:v>KIT-LABEL</x:v>
      </x:c>
      <x:c r="J355" s="65" t="str"/>
    </x:row>
    <x:row r="356">
      <x:c r="A356" s="54" t="str">
        <x:v>PKG-0014</x:v>
      </x:c>
      <x:c r="B356" s="54" t="str">
        <x:v>EA</x:v>
      </x:c>
      <x:c r="C356" s="64" t="n">
        <x:v>8</x:v>
      </x:c>
      <x:c r="D356" s="54" t="str"/>
      <x:c r="E356" s="54" t="str">
        <x:v>RECONSTRUCTED</x:v>
      </x:c>
      <x:c r="F356" s="54" t="str">
        <x:v>MEDIUM</x:v>
      </x:c>
      <x:c r="G356" s="54" t="str">
        <x:v>RECON</x:v>
      </x:c>
      <x:c r="H356" s="54" t="str"/>
      <x:c r="I356" s="54" t="str">
        <x:v>KIT-LABEL</x:v>
      </x:c>
      <x:c r="J356" s="65" t="str"/>
    </x:row>
    <x:row r="357">
      <x:c r="A357" s="54" t="str">
        <x:v>MAT-0026</x:v>
      </x:c>
      <x:c r="B357" s="54" t="str">
        <x:v>GAL</x:v>
      </x:c>
      <x:c r="C357" s="64" t="n">
        <x:v>8.34</x:v>
      </x:c>
      <x:c r="D357" s="54" t="str"/>
      <x:c r="E357" s="54" t="str">
        <x:v>RECONSTRUCTED</x:v>
      </x:c>
      <x:c r="F357" s="54" t="str">
        <x:v>MEDIUM</x:v>
      </x:c>
      <x:c r="G357" s="54" t="str">
        <x:v>RECON</x:v>
      </x:c>
      <x:c r="H357" s="54" t="str"/>
      <x:c r="I357" s="54" t="str">
        <x:v>STORES-LABEL</x:v>
      </x:c>
      <x:c r="J357" s="65" t="str"/>
    </x:row>
    <x:row r="358">
      <x:c r="A358" s="54" t="str">
        <x:v>MAT-0027</x:v>
      </x:c>
      <x:c r="B358" s="54" t="str">
        <x:v>GAL</x:v>
      </x:c>
      <x:c r="C358" s="64" t="n">
        <x:v>7.8</x:v>
      </x:c>
      <x:c r="D358" s="54" t="str"/>
      <x:c r="E358" s="54" t="str">
        <x:v>RECONSTRUCTED</x:v>
      </x:c>
      <x:c r="F358" s="54" t="str">
        <x:v>MEDIUM</x:v>
      </x:c>
      <x:c r="G358" s="54" t="str">
        <x:v>RECON</x:v>
      </x:c>
      <x:c r="H358" s="54" t="str">
        <x:v>FLAMMABLE</x:v>
      </x:c>
      <x:c r="I358" s="54" t="str">
        <x:v>STORES-LABEL</x:v>
      </x:c>
      <x:c r="J358" s="65" t="str"/>
    </x:row>
    <x:row r="359">
      <x:c r="A359" s="54" t="str">
        <x:v>MAT-0028</x:v>
      </x:c>
      <x:c r="B359" s="54" t="str">
        <x:v>GAL</x:v>
      </x:c>
      <x:c r="C359" s="64" t="n">
        <x:v>8.4</x:v>
      </x:c>
      <x:c r="D359" s="54" t="str"/>
      <x:c r="E359" s="54" t="str">
        <x:v>RECONSTRUCTED</x:v>
      </x:c>
      <x:c r="F359" s="54" t="str">
        <x:v>MEDIUM</x:v>
      </x:c>
      <x:c r="G359" s="54" t="str">
        <x:v>RECON</x:v>
      </x:c>
      <x:c r="H359" s="54" t="str"/>
      <x:c r="I359" s="54" t="str">
        <x:v>STORES-LABEL</x:v>
      </x:c>
      <x:c r="J359" s="65" t="str"/>
    </x:row>
    <x:row r="360">
      <x:c r="A360" s="54" t="str">
        <x:v>MAT-0029</x:v>
      </x:c>
      <x:c r="B360" s="54" t="str">
        <x:v>LB</x:v>
      </x:c>
      <x:c r="C360" s="64" t="n">
        <x:v>1</x:v>
      </x:c>
      <x:c r="D360" s="54" t="str"/>
      <x:c r="E360" s="54" t="str">
        <x:v>RECONSTRUCTED</x:v>
      </x:c>
      <x:c r="F360" s="54" t="str">
        <x:v>MEDIUM</x:v>
      </x:c>
      <x:c r="G360" s="54" t="str">
        <x:v>RECON</x:v>
      </x:c>
      <x:c r="H360" s="54" t="str"/>
      <x:c r="I360" s="54" t="str">
        <x:v>STORES-LABEL</x:v>
      </x:c>
      <x:c r="J360" s="65" t="str"/>
    </x:row>
    <x:row r="361">
      <x:c r="A361" s="54" t="str">
        <x:v>MAT-0030</x:v>
      </x:c>
      <x:c r="B361" s="54" t="str">
        <x:v>LB</x:v>
      </x:c>
      <x:c r="C361" s="64" t="n">
        <x:v>1</x:v>
      </x:c>
      <x:c r="D361" s="54" t="str"/>
      <x:c r="E361" s="54" t="str">
        <x:v>RECONSTRUCTED</x:v>
      </x:c>
      <x:c r="F361" s="54" t="str">
        <x:v>MEDIUM</x:v>
      </x:c>
      <x:c r="G361" s="54" t="str">
        <x:v>RECON</x:v>
      </x:c>
      <x:c r="H361" s="54" t="str"/>
      <x:c r="I361" s="54" t="str">
        <x:v>STORES-LABEL</x:v>
      </x:c>
      <x:c r="J361" s="65" t="str"/>
    </x:row>
    <x:row r="362">
      <x:c r="A362" s="54" t="str">
        <x:v>MAT-0031</x:v>
      </x:c>
      <x:c r="B362" s="54" t="str">
        <x:v>LB</x:v>
      </x:c>
      <x:c r="C362" s="64" t="n">
        <x:v>1</x:v>
      </x:c>
      <x:c r="D362" s="54" t="str"/>
      <x:c r="E362" s="54" t="str">
        <x:v>RECONSTRUCTED</x:v>
      </x:c>
      <x:c r="F362" s="54" t="str">
        <x:v>MEDIUM</x:v>
      </x:c>
      <x:c r="G362" s="54" t="str">
        <x:v>RECON</x:v>
      </x:c>
      <x:c r="H362" s="54" t="str"/>
      <x:c r="I362" s="54" t="str">
        <x:v>STORES-LABEL</x:v>
      </x:c>
      <x:c r="J362" s="65" t="str"/>
    </x:row>
    <x:row r="363">
      <x:c r="A363" s="54" t="str">
        <x:v>MAT-0032</x:v>
      </x:c>
      <x:c r="B363" s="54" t="str">
        <x:v>LB</x:v>
      </x:c>
      <x:c r="C363" s="64" t="n">
        <x:v>1</x:v>
      </x:c>
      <x:c r="D363" s="54" t="str"/>
      <x:c r="E363" s="54" t="str">
        <x:v>RECONSTRUCTED</x:v>
      </x:c>
      <x:c r="F363" s="54" t="str">
        <x:v>MEDIUM</x:v>
      </x:c>
      <x:c r="G363" s="54" t="str">
        <x:v>RECON</x:v>
      </x:c>
      <x:c r="H363" s="54" t="str"/>
      <x:c r="I363" s="54" t="str">
        <x:v>STORES-LABEL</x:v>
      </x:c>
      <x:c r="J363" s="65" t="str"/>
    </x:row>
    <x:row r="364">
      <x:c r="A364" s="54" t="str">
        <x:v>MAT-0033</x:v>
      </x:c>
      <x:c r="B364" s="54" t="str">
        <x:v>LB</x:v>
      </x:c>
      <x:c r="C364" s="64" t="n">
        <x:v>1</x:v>
      </x:c>
      <x:c r="D364" s="54" t="str"/>
      <x:c r="E364" s="54" t="str">
        <x:v>RECONSTRUCTED</x:v>
      </x:c>
      <x:c r="F364" s="54" t="str">
        <x:v>MEDIUM</x:v>
      </x:c>
      <x:c r="G364" s="54" t="str">
        <x:v>RECON</x:v>
      </x:c>
      <x:c r="H364" s="54" t="str"/>
      <x:c r="I364" s="54" t="str">
        <x:v>STORES-LABEL</x:v>
      </x:c>
      <x:c r="J364" s="65" t="str"/>
    </x:row>
    <x:row r="365">
      <x:c r="A365" s="54" t="str">
        <x:v>MAT-0034</x:v>
      </x:c>
      <x:c r="B365" s="54" t="str">
        <x:v>LB</x:v>
      </x:c>
      <x:c r="C365" s="64" t="n">
        <x:v>1</x:v>
      </x:c>
      <x:c r="D365" s="54" t="str"/>
      <x:c r="E365" s="54" t="str">
        <x:v>RECONSTRUCTED</x:v>
      </x:c>
      <x:c r="F365" s="54" t="str">
        <x:v>MEDIUM</x:v>
      </x:c>
      <x:c r="G365" s="54" t="str">
        <x:v>RECON</x:v>
      </x:c>
      <x:c r="H365" s="54" t="str"/>
      <x:c r="I365" s="54" t="str">
        <x:v>STORES-LABEL</x:v>
      </x:c>
      <x:c r="J365" s="65" t="str"/>
    </x:row>
    <x:row r="366">
      <x:c r="A366" s="54" t="str">
        <x:v>MAT-0035</x:v>
      </x:c>
      <x:c r="B366" s="54" t="str">
        <x:v>LB</x:v>
      </x:c>
      <x:c r="C366" s="64" t="n">
        <x:v>1</x:v>
      </x:c>
      <x:c r="D366" s="54" t="str"/>
      <x:c r="E366" s="54" t="str">
        <x:v>RECONSTRUCTED</x:v>
      </x:c>
      <x:c r="F366" s="54" t="str">
        <x:v>MEDIUM</x:v>
      </x:c>
      <x:c r="G366" s="54" t="str">
        <x:v>RECON</x:v>
      </x:c>
      <x:c r="H366" s="54" t="str"/>
      <x:c r="I366" s="54" t="str">
        <x:v>STORES-LABEL</x:v>
      </x:c>
      <x:c r="J366" s="65" t="str"/>
    </x:row>
    <x:row r="367">
      <x:c r="A367" s="54" t="str">
        <x:v>MAT-0036</x:v>
      </x:c>
      <x:c r="B367" s="54" t="str">
        <x:v>LB</x:v>
      </x:c>
      <x:c r="C367" s="64" t="n">
        <x:v>1</x:v>
      </x:c>
      <x:c r="D367" s="54" t="str"/>
      <x:c r="E367" s="54" t="str">
        <x:v>RECONSTRUCTED</x:v>
      </x:c>
      <x:c r="F367" s="54" t="str">
        <x:v>MEDIUM</x:v>
      </x:c>
      <x:c r="G367" s="54" t="str">
        <x:v>RECON</x:v>
      </x:c>
      <x:c r="H367" s="54" t="str"/>
      <x:c r="I367" s="54" t="str">
        <x:v>STORES-LABEL</x:v>
      </x:c>
      <x:c r="J367" s="65" t="str"/>
    </x:row>
    <x:row r="368">
      <x:c r="A368" s="54" t="str">
        <x:v>MAT-0037</x:v>
      </x:c>
      <x:c r="B368" s="54" t="str">
        <x:v>LB</x:v>
      </x:c>
      <x:c r="C368" s="64" t="n">
        <x:v>1</x:v>
      </x:c>
      <x:c r="D368" s="54" t="str"/>
      <x:c r="E368" s="54" t="str">
        <x:v>RECONSTRUCTED</x:v>
      </x:c>
      <x:c r="F368" s="54" t="str">
        <x:v>MEDIUM</x:v>
      </x:c>
      <x:c r="G368" s="54" t="str">
        <x:v>RECON</x:v>
      </x:c>
      <x:c r="H368" s="54" t="str"/>
      <x:c r="I368" s="54" t="str">
        <x:v>STORES-LABEL</x:v>
      </x:c>
      <x:c r="J368" s="65" t="str"/>
    </x:row>
    <x:row r="369">
      <x:c r="A369" s="54" t="str">
        <x:v>MAT-0038</x:v>
      </x:c>
      <x:c r="B369" s="54" t="str">
        <x:v>GAL</x:v>
      </x:c>
      <x:c r="C369" s="64" t="n">
        <x:v>7.6</x:v>
      </x:c>
      <x:c r="D369" s="54" t="str"/>
      <x:c r="E369" s="54" t="str">
        <x:v>RECONSTRUCTED</x:v>
      </x:c>
      <x:c r="F369" s="54" t="str">
        <x:v>MEDIUM</x:v>
      </x:c>
      <x:c r="G369" s="54" t="str">
        <x:v>RECON</x:v>
      </x:c>
      <x:c r="H369" s="54" t="str"/>
      <x:c r="I369" s="54" t="str">
        <x:v>STORES-LABEL</x:v>
      </x:c>
      <x:c r="J369" s="65" t="str"/>
    </x:row>
    <x:row r="370">
      <x:c r="A370" s="54" t="str">
        <x:v>LBL-0007</x:v>
      </x:c>
      <x:c r="B370" s="54" t="str">
        <x:v>EA</x:v>
      </x:c>
      <x:c r="C370" s="64"/>
      <x:c r="D370" s="54" t="str"/>
      <x:c r="E370" s="54" t="str">
        <x:v>FICTIONAL</x:v>
      </x:c>
      <x:c r="F370" s="54" t="str">
        <x:v>N/A</x:v>
      </x:c>
      <x:c r="G370" s="54" t="str">
        <x:v>FICTION</x:v>
      </x:c>
      <x:c r="H370" s="54" t="str"/>
      <x:c r="I370" s="54" t="str">
        <x:v>PROVISION-CASK</x:v>
      </x:c>
      <x:c r="J370" s="65" t="str"/>
    </x:row>
    <x:row r="371">
      <x:c r="A371" s="54" t="str">
        <x:v>LBL-0008</x:v>
      </x:c>
      <x:c r="B371" s="54" t="str">
        <x:v>EA</x:v>
      </x:c>
      <x:c r="C371" s="64"/>
      <x:c r="D371" s="54" t="str"/>
      <x:c r="E371" s="54" t="str">
        <x:v>FICTIONAL</x:v>
      </x:c>
      <x:c r="F371" s="54" t="str">
        <x:v>N/A</x:v>
      </x:c>
      <x:c r="G371" s="54" t="str">
        <x:v>FICTION</x:v>
      </x:c>
      <x:c r="H371" s="54" t="str">
        <x:v>FLAMMABLE</x:v>
      </x:c>
      <x:c r="I371" s="54" t="str">
        <x:v>PROVISION-CASK</x:v>
      </x:c>
      <x:c r="J371" s="65" t="str"/>
    </x:row>
    <x:row r="372">
      <x:c r="A372" s="54" t="str">
        <x:v>LBL-0009</x:v>
      </x:c>
      <x:c r="B372" s="54" t="str">
        <x:v>EA</x:v>
      </x:c>
      <x:c r="C372" s="64"/>
      <x:c r="D372" s="54" t="str"/>
      <x:c r="E372" s="54" t="str">
        <x:v>FICTIONAL</x:v>
      </x:c>
      <x:c r="F372" s="54" t="str">
        <x:v>N/A</x:v>
      </x:c>
      <x:c r="G372" s="54" t="str">
        <x:v>FICTION</x:v>
      </x:c>
      <x:c r="H372" s="54" t="str"/>
      <x:c r="I372" s="54" t="str">
        <x:v>PROVISION-CASK</x:v>
      </x:c>
      <x:c r="J372" s="65" t="str"/>
    </x:row>
    <x:row r="373">
      <x:c r="A373" s="54" t="str">
        <x:v>LBL-0010</x:v>
      </x:c>
      <x:c r="B373" s="54" t="str">
        <x:v>EA</x:v>
      </x:c>
      <x:c r="C373" s="64"/>
      <x:c r="D373" s="54" t="str"/>
      <x:c r="E373" s="54" t="str">
        <x:v>FICTIONAL</x:v>
      </x:c>
      <x:c r="F373" s="54" t="str">
        <x:v>N/A</x:v>
      </x:c>
      <x:c r="G373" s="54" t="str">
        <x:v>FICTION</x:v>
      </x:c>
      <x:c r="H373" s="54" t="str"/>
      <x:c r="I373" s="54" t="str">
        <x:v>PROVISION-CASK</x:v>
      </x:c>
      <x:c r="J373" s="65" t="str"/>
    </x:row>
    <x:row r="374">
      <x:c r="A374" s="54" t="str">
        <x:v>ASM-0042</x:v>
      </x:c>
      <x:c r="B374" s="54" t="str">
        <x:v>EA</x:v>
      </x:c>
      <x:c r="C374" s="64" t="n">
        <x:v>475</x:v>
      </x:c>
      <x:c r="D374" s="54" t="str"/>
      <x:c r="E374" s="54" t="str">
        <x:v>RECONSTRUCTED</x:v>
      </x:c>
      <x:c r="F374" s="54" t="str">
        <x:v>MEDIUM</x:v>
      </x:c>
      <x:c r="G374" s="54" t="str">
        <x:v>QAR-STOR</x:v>
      </x:c>
      <x:c r="H374" s="54" t="str"/>
      <x:c r="I374" s="54" t="str">
        <x:v>PROVISION-CASK</x:v>
      </x:c>
      <x:c r="J374" s="65" t="str"/>
    </x:row>
    <x:row r="375">
      <x:c r="A375" s="54" t="str">
        <x:v>ASM-0043</x:v>
      </x:c>
      <x:c r="B375" s="54" t="str">
        <x:v>EA</x:v>
      </x:c>
      <x:c r="C375" s="64" t="n">
        <x:v>448</x:v>
      </x:c>
      <x:c r="D375" s="54" t="str"/>
      <x:c r="E375" s="54" t="str">
        <x:v>RECONSTRUCTED</x:v>
      </x:c>
      <x:c r="F375" s="54" t="str">
        <x:v>MEDIUM</x:v>
      </x:c>
      <x:c r="G375" s="54" t="str">
        <x:v>QAR-STOR</x:v>
      </x:c>
      <x:c r="H375" s="54" t="str">
        <x:v>FLAMMABLE</x:v>
      </x:c>
      <x:c r="I375" s="54" t="str">
        <x:v>PROVISION-CASK</x:v>
      </x:c>
      <x:c r="J375" s="65" t="str"/>
    </x:row>
    <x:row r="376">
      <x:c r="A376" s="54" t="str">
        <x:v>ASM-0044</x:v>
      </x:c>
      <x:c r="B376" s="54" t="str">
        <x:v>EA</x:v>
      </x:c>
      <x:c r="C376" s="64" t="n">
        <x:v>248</x:v>
      </x:c>
      <x:c r="D376" s="54" t="str"/>
      <x:c r="E376" s="54" t="str">
        <x:v>RECONSTRUCTED</x:v>
      </x:c>
      <x:c r="F376" s="54" t="str">
        <x:v>MEDIUM</x:v>
      </x:c>
      <x:c r="G376" s="54" t="str">
        <x:v>QAR-STOR</x:v>
      </x:c>
      <x:c r="H376" s="54" t="str"/>
      <x:c r="I376" s="54" t="str">
        <x:v>PROVISION-CASK</x:v>
      </x:c>
      <x:c r="J376" s="65" t="str"/>
    </x:row>
    <x:row r="377">
      <x:c r="A377" s="54" t="str">
        <x:v>ASM-0045</x:v>
      </x:c>
      <x:c r="B377" s="54" t="str">
        <x:v>EA</x:v>
      </x:c>
      <x:c r="C377" s="64" t="n">
        <x:v>142</x:v>
      </x:c>
      <x:c r="D377" s="54" t="str"/>
      <x:c r="E377" s="54" t="str">
        <x:v>RECONSTRUCTED</x:v>
      </x:c>
      <x:c r="F377" s="54" t="str">
        <x:v>MEDIUM</x:v>
      </x:c>
      <x:c r="G377" s="54" t="str">
        <x:v>RECON</x:v>
      </x:c>
      <x:c r="H377" s="54" t="str"/>
      <x:c r="I377" s="54" t="str">
        <x:v>PROVISION-CASK</x:v>
      </x:c>
      <x:c r="J377" s="65" t="str"/>
    </x:row>
    <x:row r="378">
      <x:c r="A378" s="54" t="str">
        <x:v>ASM-0046</x:v>
      </x:c>
      <x:c r="B378" s="54" t="str">
        <x:v>EA</x:v>
      </x:c>
      <x:c r="C378" s="64" t="n">
        <x:v>242</x:v>
      </x:c>
      <x:c r="D378" s="54" t="str"/>
      <x:c r="E378" s="54" t="str">
        <x:v>RECONSTRUCTED</x:v>
      </x:c>
      <x:c r="F378" s="54" t="str">
        <x:v>MEDIUM</x:v>
      </x:c>
      <x:c r="G378" s="54" t="str">
        <x:v>RECON</x:v>
      </x:c>
      <x:c r="H378" s="54" t="str"/>
      <x:c r="I378" s="54" t="str">
        <x:v>PROVISION-CASK</x:v>
      </x:c>
      <x:c r="J378" s="65" t="str"/>
    </x:row>
    <x:row r="379">
      <x:c r="A379" s="54" t="str">
        <x:v>ASM-0047</x:v>
      </x:c>
      <x:c r="B379" s="54" t="str">
        <x:v>EA</x:v>
      </x:c>
      <x:c r="C379" s="64" t="n">
        <x:v>242</x:v>
      </x:c>
      <x:c r="D379" s="54" t="str"/>
      <x:c r="E379" s="54" t="str">
        <x:v>RECONSTRUCTED</x:v>
      </x:c>
      <x:c r="F379" s="54" t="str">
        <x:v>MEDIUM</x:v>
      </x:c>
      <x:c r="G379" s="54" t="str">
        <x:v>RECON</x:v>
      </x:c>
      <x:c r="H379" s="54" t="str"/>
      <x:c r="I379" s="54" t="str">
        <x:v>PROVISION-CASK</x:v>
      </x:c>
      <x:c r="J379" s="65" t="str"/>
    </x:row>
    <x:row r="380">
      <x:c r="A380" s="54" t="str">
        <x:v>ASM-0048</x:v>
      </x:c>
      <x:c r="B380" s="54" t="str">
        <x:v>EA</x:v>
      </x:c>
      <x:c r="C380" s="64" t="n">
        <x:v>142</x:v>
      </x:c>
      <x:c r="D380" s="54" t="str"/>
      <x:c r="E380" s="54" t="str">
        <x:v>RECONSTRUCTED</x:v>
      </x:c>
      <x:c r="F380" s="54" t="str">
        <x:v>MEDIUM</x:v>
      </x:c>
      <x:c r="G380" s="54" t="str">
        <x:v>RECON</x:v>
      </x:c>
      <x:c r="H380" s="54" t="str"/>
      <x:c r="I380" s="54" t="str">
        <x:v>PROVISION-CASK</x:v>
      </x:c>
      <x:c r="J380" s="65" t="str"/>
    </x:row>
    <x:row r="381">
      <x:c r="A381" s="54" t="str">
        <x:v>ASM-0049</x:v>
      </x:c>
      <x:c r="B381" s="54" t="str">
        <x:v>EA</x:v>
      </x:c>
      <x:c r="C381" s="64" t="n">
        <x:v>52</x:v>
      </x:c>
      <x:c r="D381" s="54" t="str"/>
      <x:c r="E381" s="54" t="str">
        <x:v>RECONSTRUCTED</x:v>
      </x:c>
      <x:c r="F381" s="54" t="str">
        <x:v>MEDIUM</x:v>
      </x:c>
      <x:c r="G381" s="54" t="str">
        <x:v>RECON</x:v>
      </x:c>
      <x:c r="H381" s="54" t="str"/>
      <x:c r="I381" s="54" t="str">
        <x:v>PROVISION-CASK</x:v>
      </x:c>
      <x:c r="J381" s="65" t="str"/>
    </x:row>
    <x:row r="382">
      <x:c r="A382" s="54" t="str">
        <x:v>ASM-0050</x:v>
      </x:c>
      <x:c r="B382" s="54" t="str">
        <x:v>EA</x:v>
      </x:c>
      <x:c r="C382" s="64" t="n">
        <x:v>52</x:v>
      </x:c>
      <x:c r="D382" s="54" t="str"/>
      <x:c r="E382" s="54" t="str">
        <x:v>RECONSTRUCTED</x:v>
      </x:c>
      <x:c r="F382" s="54" t="str">
        <x:v>MEDIUM</x:v>
      </x:c>
      <x:c r="G382" s="54" t="str">
        <x:v>RECON</x:v>
      </x:c>
      <x:c r="H382" s="54" t="str"/>
      <x:c r="I382" s="54" t="str">
        <x:v>PROVISION-CASK</x:v>
      </x:c>
      <x:c r="J382" s="65" t="str"/>
    </x:row>
    <x:row r="383">
      <x:c r="A383" s="54" t="str">
        <x:v>ASM-0051</x:v>
      </x:c>
      <x:c r="B383" s="54" t="str">
        <x:v>EA</x:v>
      </x:c>
      <x:c r="C383" s="64" t="n">
        <x:v>62</x:v>
      </x:c>
      <x:c r="D383" s="54" t="str"/>
      <x:c r="E383" s="54" t="str">
        <x:v>RECONSTRUCTED</x:v>
      </x:c>
      <x:c r="F383" s="54" t="str">
        <x:v>MEDIUM</x:v>
      </x:c>
      <x:c r="G383" s="54" t="str">
        <x:v>RECON</x:v>
      </x:c>
      <x:c r="H383" s="54" t="str"/>
      <x:c r="I383" s="54" t="str">
        <x:v>PROVISION-CASK</x:v>
      </x:c>
      <x:c r="J383" s="65" t="str"/>
    </x:row>
    <x:row r="384">
      <x:c r="A384" s="54" t="str">
        <x:v>ASM-0052</x:v>
      </x:c>
      <x:c r="B384" s="54" t="str">
        <x:v>EA</x:v>
      </x:c>
      <x:c r="C384" s="64" t="n">
        <x:v>33</x:v>
      </x:c>
      <x:c r="D384" s="54" t="str"/>
      <x:c r="E384" s="54" t="str">
        <x:v>RECONSTRUCTED</x:v>
      </x:c>
      <x:c r="F384" s="54" t="str">
        <x:v>MEDIUM</x:v>
      </x:c>
      <x:c r="G384" s="54" t="str">
        <x:v>RECON</x:v>
      </x:c>
      <x:c r="H384" s="54" t="str"/>
      <x:c r="I384" s="54" t="str">
        <x:v>PROVISION-CASK</x:v>
      </x:c>
      <x:c r="J384" s="65" t="str"/>
    </x:row>
    <x:row r="385">
      <x:c r="A385" s="54" t="str">
        <x:v>ASM-0053</x:v>
      </x:c>
      <x:c r="B385" s="54" t="str">
        <x:v>EA</x:v>
      </x:c>
      <x:c r="C385" s="64" t="n">
        <x:v>52</x:v>
      </x:c>
      <x:c r="D385" s="54" t="str"/>
      <x:c r="E385" s="54" t="str">
        <x:v>RECONSTRUCTED</x:v>
      </x:c>
      <x:c r="F385" s="54" t="str">
        <x:v>MEDIUM</x:v>
      </x:c>
      <x:c r="G385" s="54" t="str">
        <x:v>RECON</x:v>
      </x:c>
      <x:c r="H385" s="54" t="str"/>
      <x:c r="I385" s="54" t="str">
        <x:v>PROVISION-CASK</x:v>
      </x:c>
      <x:c r="J385" s="65" t="str"/>
    </x:row>
    <x:row r="386">
      <x:c r="A386" s="54" t="str">
        <x:v>ASM-0054</x:v>
      </x:c>
      <x:c r="B386" s="54" t="str">
        <x:v>EA</x:v>
      </x:c>
      <x:c r="C386" s="64" t="n">
        <x:v>228</x:v>
      </x:c>
      <x:c r="D386" s="54" t="str"/>
      <x:c r="E386" s="54" t="str">
        <x:v>RECONSTRUCTED</x:v>
      </x:c>
      <x:c r="F386" s="54" t="str">
        <x:v>MEDIUM</x:v>
      </x:c>
      <x:c r="G386" s="54" t="str">
        <x:v>RECON</x:v>
      </x:c>
      <x:c r="H386" s="54" t="str"/>
      <x:c r="I386" s="54" t="str">
        <x:v>PROVISION-CASK</x:v>
      </x:c>
      <x:c r="J386" s="65" t="str"/>
    </x:row>
    <x:row r="387">
      <x:c r="A387" s="54" t="str">
        <x:v>KIT-0042</x:v>
      </x:c>
      <x:c r="B387" s="54" t="str">
        <x:v>EA</x:v>
      </x:c>
      <x:c r="C387" s="64"/>
      <x:c r="D387" s="54" t="str"/>
      <x:c r="E387" s="54" t="str">
        <x:v>RECONSTRUCTED</x:v>
      </x:c>
      <x:c r="F387" s="54" t="str">
        <x:v>MEDIUM</x:v>
      </x:c>
      <x:c r="G387" s="54" t="str">
        <x:v>QAR-PERS</x:v>
      </x:c>
      <x:c r="H387" s="54" t="str"/>
      <x:c r="I387" s="54" t="str">
        <x:v>KIT-LABEL</x:v>
      </x:c>
      <x:c r="J387" s="65" t="str"/>
    </x:row>
    <x:row r="388">
      <x:c r="A388" s="54" t="str">
        <x:v>OFT-0023</x:v>
      </x:c>
      <x:c r="B388" s="54" t="str">
        <x:v>EA</x:v>
      </x:c>
      <x:c r="C388" s="64"/>
      <x:c r="D388" s="54" t="str"/>
      <x:c r="E388" s="54" t="str">
        <x:v>RECONSTRUCTED</x:v>
      </x:c>
      <x:c r="F388" s="54" t="str">
        <x:v>MEDIUM</x:v>
      </x:c>
      <x:c r="G388" s="54" t="str">
        <x:v>RECON</x:v>
      </x:c>
      <x:c r="H388" s="54" t="str"/>
      <x:c r="I388" s="54" t="str">
        <x:v>KIT-LABEL</x:v>
      </x:c>
      <x:c r="J388" s="65" t="str"/>
    </x:row>
    <x:row r="389">
      <x:c r="A389" s="54" t="str">
        <x:v>ASM-0055</x:v>
      </x:c>
      <x:c r="B389" s="54" t="str">
        <x:v>EA</x:v>
      </x:c>
      <x:c r="C389" s="64" t="n">
        <x:v>11</x:v>
      </x:c>
      <x:c r="D389" s="54" t="str"/>
      <x:c r="E389" s="54" t="str">
        <x:v>RECONSTRUCTED</x:v>
      </x:c>
      <x:c r="F389" s="54" t="str">
        <x:v>MEDIUM</x:v>
      </x:c>
      <x:c r="G389" s="54" t="str">
        <x:v>RECON</x:v>
      </x:c>
      <x:c r="H389" s="54" t="str"/>
      <x:c r="I389" s="54" t="str">
        <x:v>KIT-LABEL</x:v>
      </x:c>
      <x:c r="J389" s="65" t="str"/>
    </x:row>
    <x:row r="390">
      <x:c r="A390" s="54" t="str">
        <x:v>PRT-0151</x:v>
      </x:c>
      <x:c r="B390" s="54" t="str">
        <x:v>EA</x:v>
      </x:c>
      <x:c r="C390" s="64" t="n">
        <x:v>6</x:v>
      </x:c>
      <x:c r="D390" s="54" t="str"/>
      <x:c r="E390" s="54" t="str">
        <x:v>RECONSTRUCTED</x:v>
      </x:c>
      <x:c r="F390" s="54" t="str">
        <x:v>MEDIUM</x:v>
      </x:c>
      <x:c r="G390" s="54" t="str">
        <x:v>RECON</x:v>
      </x:c>
      <x:c r="H390" s="54" t="str"/>
      <x:c r="I390" s="54" t="str">
        <x:v>PART-ID</x:v>
      </x:c>
      <x:c r="J390" s="65" t="str"/>
    </x:row>
    <x:row r="391">
      <x:c r="A391" s="54" t="str">
        <x:v>PKG-0015</x:v>
      </x:c>
      <x:c r="B391" s="54" t="str">
        <x:v>EA</x:v>
      </x:c>
      <x:c r="C391" s="64" t="n">
        <x:v>2</x:v>
      </x:c>
      <x:c r="D391" s="54" t="str"/>
      <x:c r="E391" s="54" t="str">
        <x:v>RECONSTRUCTED</x:v>
      </x:c>
      <x:c r="F391" s="54" t="str">
        <x:v>MEDIUM</x:v>
      </x:c>
      <x:c r="G391" s="54" t="str">
        <x:v>RECON</x:v>
      </x:c>
      <x:c r="H391" s="54" t="str"/>
      <x:c r="I391" s="54" t="str">
        <x:v>KIT-LABEL</x:v>
      </x:c>
      <x:c r="J391" s="65" t="str"/>
    </x:row>
    <x:row r="392">
      <x:c r="A392" s="54" t="str">
        <x:v>PRT-0152</x:v>
      </x:c>
      <x:c r="B392" s="54" t="str">
        <x:v>EA</x:v>
      </x:c>
      <x:c r="C392" s="64" t="n">
        <x:v>0.8</x:v>
      </x:c>
      <x:c r="D392" s="54" t="str"/>
      <x:c r="E392" s="54" t="str">
        <x:v>RECONSTRUCTED</x:v>
      </x:c>
      <x:c r="F392" s="54" t="str">
        <x:v>MEDIUM</x:v>
      </x:c>
      <x:c r="G392" s="54" t="str">
        <x:v>QAR-SUST</x:v>
      </x:c>
      <x:c r="H392" s="54" t="str"/>
      <x:c r="I392" s="54" t="str">
        <x:v>PART-ID</x:v>
      </x:c>
      <x:c r="J392" s="65" t="str"/>
    </x:row>
    <x:row r="393">
      <x:c r="A393" s="54" t="str">
        <x:v>PRT-0153</x:v>
      </x:c>
      <x:c r="B393" s="54" t="str">
        <x:v>EA</x:v>
      </x:c>
      <x:c r="C393" s="64" t="n">
        <x:v>0.5</x:v>
      </x:c>
      <x:c r="D393" s="54" t="str"/>
      <x:c r="E393" s="54" t="str">
        <x:v>RECONSTRUCTED</x:v>
      </x:c>
      <x:c r="F393" s="54" t="str">
        <x:v>MEDIUM</x:v>
      </x:c>
      <x:c r="G393" s="54" t="str">
        <x:v>RECON</x:v>
      </x:c>
      <x:c r="H393" s="54" t="str"/>
      <x:c r="I393" s="54" t="str">
        <x:v>PART-ID</x:v>
      </x:c>
      <x:c r="J393" s="65" t="str"/>
    </x:row>
    <x:row r="394">
      <x:c r="A394" s="54" t="str">
        <x:v>KIT-0043</x:v>
      </x:c>
      <x:c r="B394" s="54" t="str">
        <x:v>EA</x:v>
      </x:c>
      <x:c r="C394" s="64" t="n">
        <x:v>9</x:v>
      </x:c>
      <x:c r="D394" s="54" t="str"/>
      <x:c r="E394" s="54" t="str">
        <x:v>RECONSTRUCTED</x:v>
      </x:c>
      <x:c r="F394" s="54" t="str">
        <x:v>MEDIUM</x:v>
      </x:c>
      <x:c r="G394" s="54" t="str">
        <x:v>QAR-PERS</x:v>
      </x:c>
      <x:c r="H394" s="54" t="str"/>
      <x:c r="I394" s="54" t="str">
        <x:v>KIT-LABEL</x:v>
      </x:c>
      <x:c r="J394" s="65" t="str"/>
    </x:row>
    <x:row r="395">
      <x:c r="A395" s="54" t="str">
        <x:v>KIT-0044</x:v>
      </x:c>
      <x:c r="B395" s="54" t="str">
        <x:v>EA</x:v>
      </x:c>
      <x:c r="C395" s="64" t="n">
        <x:v>3</x:v>
      </x:c>
      <x:c r="D395" s="54" t="str"/>
      <x:c r="E395" s="54" t="str">
        <x:v>RECONSTRUCTED</x:v>
      </x:c>
      <x:c r="F395" s="54" t="str">
        <x:v>MEDIUM</x:v>
      </x:c>
      <x:c r="G395" s="54" t="str">
        <x:v>RECON</x:v>
      </x:c>
      <x:c r="H395" s="54" t="str"/>
      <x:c r="I395" s="54" t="str">
        <x:v>KIT-LABEL</x:v>
      </x:c>
      <x:c r="J395" s="65" t="str"/>
    </x:row>
    <x:row r="396">
      <x:c r="A396" s="54" t="str">
        <x:v>LBL-0011</x:v>
      </x:c>
      <x:c r="B396" s="54" t="str">
        <x:v>EA</x:v>
      </x:c>
      <x:c r="C396" s="64"/>
      <x:c r="D396" s="54" t="str"/>
      <x:c r="E396" s="54" t="str">
        <x:v>FICTIONAL</x:v>
      </x:c>
      <x:c r="F396" s="54" t="str">
        <x:v>N/A</x:v>
      </x:c>
      <x:c r="G396" s="54" t="str">
        <x:v>FICTION</x:v>
      </x:c>
      <x:c r="H396" s="54" t="str"/>
      <x:c r="I396" s="54" t="str">
        <x:v>CREW-ISSUE</x:v>
      </x:c>
      <x:c r="J396" s="65" t="str"/>
    </x:row>
    <x:row r="397">
      <x:c r="A397" s="54" t="str">
        <x:v>QAR-0054</x:v>
      </x:c>
      <x:c r="B397" s="54" t="str">
        <x:v>EA</x:v>
      </x:c>
      <x:c r="C397" s="64"/>
      <x:c r="D397" s="54" t="str"/>
      <x:c r="E397" s="54" t="str">
        <x:v>RECONSTRUCTED</x:v>
      </x:c>
      <x:c r="F397" s="54" t="str">
        <x:v>MEDIUM</x:v>
      </x:c>
      <x:c r="G397" s="54" t="str">
        <x:v>RECON</x:v>
      </x:c>
      <x:c r="H397" s="54" t="str"/>
      <x:c r="I397" s="54" t="str">
        <x:v>KIT-LABEL</x:v>
      </x:c>
      <x:c r="J397" s="65" t="str"/>
    </x:row>
    <x:row r="398">
      <x:c r="A398" s="54" t="str">
        <x:v>KIT-0045</x:v>
      </x:c>
      <x:c r="B398" s="54" t="str">
        <x:v>EA</x:v>
      </x:c>
      <x:c r="C398" s="64"/>
      <x:c r="D398" s="54" t="str"/>
      <x:c r="E398" s="54" t="str">
        <x:v>RECONSTRUCTED</x:v>
      </x:c>
      <x:c r="F398" s="54" t="str">
        <x:v>MEDIUM</x:v>
      </x:c>
      <x:c r="G398" s="54" t="str">
        <x:v>RECON</x:v>
      </x:c>
      <x:c r="H398" s="54" t="str"/>
      <x:c r="I398" s="54" t="str">
        <x:v>KIT-LABEL</x:v>
      </x:c>
      <x:c r="J398" s="65" t="str"/>
    </x:row>
    <x:row r="399">
      <x:c r="A399" s="54" t="str">
        <x:v>ASM-0056</x:v>
      </x:c>
      <x:c r="B399" s="54" t="str">
        <x:v>EA</x:v>
      </x:c>
      <x:c r="C399" s="64"/>
      <x:c r="D399" s="54" t="str"/>
      <x:c r="E399" s="54" t="str">
        <x:v>RECONSTRUCTED</x:v>
      </x:c>
      <x:c r="F399" s="54" t="str">
        <x:v>MEDIUM</x:v>
      </x:c>
      <x:c r="G399" s="54" t="str">
        <x:v>RECON</x:v>
      </x:c>
      <x:c r="H399" s="54" t="str"/>
      <x:c r="I399" s="54" t="str">
        <x:v>KIT-LABEL</x:v>
      </x:c>
      <x:c r="J399" s="65" t="str"/>
    </x:row>
    <x:row r="400">
      <x:c r="A400" s="54" t="str">
        <x:v>ASM-0057</x:v>
      </x:c>
      <x:c r="B400" s="54" t="str">
        <x:v>EA</x:v>
      </x:c>
      <x:c r="C400" s="64"/>
      <x:c r="D400" s="54" t="str"/>
      <x:c r="E400" s="54" t="str">
        <x:v>RECONSTRUCTED</x:v>
      </x:c>
      <x:c r="F400" s="54" t="str">
        <x:v>MEDIUM</x:v>
      </x:c>
      <x:c r="G400" s="54" t="str">
        <x:v>RECON</x:v>
      </x:c>
      <x:c r="H400" s="54" t="str"/>
      <x:c r="I400" s="54" t="str">
        <x:v>KIT-LABEL</x:v>
      </x:c>
      <x:c r="J400" s="65" t="str"/>
    </x:row>
    <x:row r="401">
      <x:c r="A401" s="54" t="str">
        <x:v>ASM-0058</x:v>
      </x:c>
      <x:c r="B401" s="54" t="str">
        <x:v>EA</x:v>
      </x:c>
      <x:c r="C401" s="64"/>
      <x:c r="D401" s="54" t="str"/>
      <x:c r="E401" s="54" t="str">
        <x:v>RECONSTRUCTED</x:v>
      </x:c>
      <x:c r="F401" s="54" t="str">
        <x:v>MEDIUM</x:v>
      </x:c>
      <x:c r="G401" s="54" t="str">
        <x:v>RECON</x:v>
      </x:c>
      <x:c r="H401" s="54" t="str"/>
      <x:c r="I401" s="54" t="str">
        <x:v>KIT-LABEL</x:v>
      </x:c>
      <x:c r="J401" s="65" t="str"/>
    </x:row>
    <x:row r="402">
      <x:c r="A402" s="54" t="str">
        <x:v>ASM-0059</x:v>
      </x:c>
      <x:c r="B402" s="54" t="str">
        <x:v>EA</x:v>
      </x:c>
      <x:c r="C402" s="64"/>
      <x:c r="D402" s="54" t="str"/>
      <x:c r="E402" s="54" t="str">
        <x:v>RECONSTRUCTED</x:v>
      </x:c>
      <x:c r="F402" s="54" t="str">
        <x:v>MEDIUM</x:v>
      </x:c>
      <x:c r="G402" s="54" t="str">
        <x:v>RECON</x:v>
      </x:c>
      <x:c r="H402" s="54" t="str"/>
      <x:c r="I402" s="54" t="str">
        <x:v>KIT-LABEL</x:v>
      </x:c>
      <x:c r="J402" s="65" t="str"/>
    </x:row>
    <x:row r="403">
      <x:c r="A403" s="54" t="str">
        <x:v>ASM-0060</x:v>
      </x:c>
      <x:c r="B403" s="54" t="str">
        <x:v>EA</x:v>
      </x:c>
      <x:c r="C403" s="64"/>
      <x:c r="D403" s="54" t="str"/>
      <x:c r="E403" s="54" t="str">
        <x:v>RECONSTRUCTED</x:v>
      </x:c>
      <x:c r="F403" s="54" t="str">
        <x:v>MEDIUM</x:v>
      </x:c>
      <x:c r="G403" s="54" t="str">
        <x:v>RECON</x:v>
      </x:c>
      <x:c r="H403" s="54" t="str"/>
      <x:c r="I403" s="54" t="str">
        <x:v>KIT-LABEL</x:v>
      </x:c>
      <x:c r="J403" s="65" t="str"/>
    </x:row>
    <x:row r="404">
      <x:c r="A404" s="54" t="str">
        <x:v>PKG-0016</x:v>
      </x:c>
      <x:c r="B404" s="54" t="str">
        <x:v>EA</x:v>
      </x:c>
      <x:c r="C404" s="64"/>
      <x:c r="D404" s="54" t="str"/>
      <x:c r="E404" s="54" t="str">
        <x:v>RECONSTRUCTED</x:v>
      </x:c>
      <x:c r="F404" s="54" t="str">
        <x:v>MEDIUM</x:v>
      </x:c>
      <x:c r="G404" s="54" t="str">
        <x:v>RECON</x:v>
      </x:c>
      <x:c r="H404" s="54" t="str"/>
      <x:c r="I404" s="54" t="str">
        <x:v>KIT-LABEL</x:v>
      </x:c>
      <x:c r="J404" s="65" t="str"/>
    </x:row>
    <x:row r="405">
      <x:c r="A405" s="54" t="str">
        <x:v>MAT-0039</x:v>
      </x:c>
      <x:c r="B405" s="54" t="str">
        <x:v>EA</x:v>
      </x:c>
      <x:c r="C405" s="64"/>
      <x:c r="D405" s="54" t="str"/>
      <x:c r="E405" s="54" t="str">
        <x:v>RECONSTRUCTED</x:v>
      </x:c>
      <x:c r="F405" s="54" t="str">
        <x:v>MEDIUM</x:v>
      </x:c>
      <x:c r="G405" s="54" t="str">
        <x:v>RECON</x:v>
      </x:c>
      <x:c r="H405" s="54" t="str"/>
      <x:c r="I405" s="54" t="str">
        <x:v>STORES-LABEL</x:v>
      </x:c>
      <x:c r="J405" s="65" t="str"/>
    </x:row>
    <x:row r="406">
      <x:c r="A406" s="54" t="str">
        <x:v>DOC-0002</x:v>
      </x:c>
      <x:c r="B406" s="54" t="str">
        <x:v>EA</x:v>
      </x:c>
      <x:c r="C406" s="64"/>
      <x:c r="D406" s="54" t="str"/>
      <x:c r="E406" s="54" t="str">
        <x:v>FICTIONAL</x:v>
      </x:c>
      <x:c r="F406" s="54" t="str">
        <x:v>N/A</x:v>
      </x:c>
      <x:c r="G406" s="54" t="str">
        <x:v>FICTION</x:v>
      </x:c>
      <x:c r="H406" s="54" t="str"/>
      <x:c r="I406" s="54" t="str">
        <x:v>PART-ID</x:v>
      </x:c>
      <x:c r="J406" s="65" t="str">
        <x:v>Fictional reconstruction record that playfully mirrors the Buildbooks use case.</x:v>
      </x:c>
    </x:row>
    <x:row r="407">
      <x:c r="A407" s="54" t="str">
        <x:v>DOC-0003</x:v>
      </x:c>
      <x:c r="B407" s="54" t="str">
        <x:v>EA</x:v>
      </x:c>
      <x:c r="C407" s="64"/>
      <x:c r="D407" s="54" t="str"/>
      <x:c r="E407" s="54" t="str">
        <x:v>RECONSTRUCTED</x:v>
      </x:c>
      <x:c r="F407" s="54" t="str">
        <x:v>MEDIUM</x:v>
      </x:c>
      <x:c r="G407" s="54" t="str">
        <x:v>RECON</x:v>
      </x:c>
      <x:c r="H407" s="54" t="str"/>
      <x:c r="I407" s="54" t="str">
        <x:v>PART-ID</x:v>
      </x:c>
      <x:c r="J407" s="65" t="str"/>
    </x:row>
    <x:row r="408">
      <x:c r="A408" s="54" t="str">
        <x:v>MAT-0040</x:v>
      </x:c>
      <x:c r="B408" s="54" t="str">
        <x:v>EA</x:v>
      </x:c>
      <x:c r="C408" s="64" t="n">
        <x:v>0.1</x:v>
      </x:c>
      <x:c r="D408" s="54" t="str"/>
      <x:c r="E408" s="54" t="str">
        <x:v>RECONSTRUCTED</x:v>
      </x:c>
      <x:c r="F408" s="54" t="str">
        <x:v>MEDIUM</x:v>
      </x:c>
      <x:c r="G408" s="54" t="str">
        <x:v>RECON</x:v>
      </x:c>
      <x:c r="H408" s="54" t="str"/>
      <x:c r="I408" s="54" t="str">
        <x:v>STORES-LABEL</x:v>
      </x:c>
      <x:c r="J408" s="65" t="str"/>
    </x:row>
    <x:row r="409">
      <x:c r="A409" s="54" t="str">
        <x:v>KIT-0046</x:v>
      </x:c>
      <x:c r="B409" s="54" t="str">
        <x:v>EA</x:v>
      </x:c>
      <x:c r="C409" s="64" t="n">
        <x:v>8</x:v>
      </x:c>
      <x:c r="D409" s="54" t="str"/>
      <x:c r="E409" s="54" t="str">
        <x:v>RECOVERED</x:v>
      </x:c>
      <x:c r="F409" s="54" t="str">
        <x:v>MEDIUM</x:v>
      </x:c>
      <x:c r="G409" s="54" t="str">
        <x:v>QAR-TOOLS</x:v>
      </x:c>
      <x:c r="H409" s="54" t="str"/>
      <x:c r="I409" s="54" t="str">
        <x:v>KIT-LABEL</x:v>
      </x:c>
      <x:c r="J409" s="65" t="str"/>
    </x:row>
    <x:row r="410">
      <x:c r="A410" s="54" t="str">
        <x:v>ASM-0061</x:v>
      </x:c>
      <x:c r="B410" s="54" t="str">
        <x:v>EA</x:v>
      </x:c>
      <x:c r="C410" s="64" t="n">
        <x:v>10</x:v>
      </x:c>
      <x:c r="D410" s="54" t="str"/>
      <x:c r="E410" s="54" t="str">
        <x:v>RECOVERED</x:v>
      </x:c>
      <x:c r="F410" s="54" t="str">
        <x:v>MEDIUM</x:v>
      </x:c>
      <x:c r="G410" s="54" t="str">
        <x:v>QAR-TOOLS</x:v>
      </x:c>
      <x:c r="H410" s="54" t="str"/>
      <x:c r="I410" s="54" t="str">
        <x:v>KIT-LABEL</x:v>
      </x:c>
      <x:c r="J410" s="65" t="str"/>
    </x:row>
    <x:row r="411">
      <x:c r="A411" s="54" t="str">
        <x:v>OFT-0024</x:v>
      </x:c>
      <x:c r="B411" s="54" t="str">
        <x:v>EA</x:v>
      </x:c>
      <x:c r="C411" s="64"/>
      <x:c r="D411" s="54" t="str"/>
      <x:c r="E411" s="54" t="str">
        <x:v>RECONSTRUCTED</x:v>
      </x:c>
      <x:c r="F411" s="54" t="str">
        <x:v>MEDIUM</x:v>
      </x:c>
      <x:c r="G411" s="54" t="str">
        <x:v>RECON</x:v>
      </x:c>
      <x:c r="H411" s="54" t="str"/>
      <x:c r="I411" s="54" t="str">
        <x:v>KIT-LABEL</x:v>
      </x:c>
      <x:c r="J411" s="65" t="str"/>
    </x:row>
    <x:row r="412">
      <x:c r="A412" s="54" t="str">
        <x:v>OFT-0025</x:v>
      </x:c>
      <x:c r="B412" s="54" t="str">
        <x:v>EA</x:v>
      </x:c>
      <x:c r="C412" s="64"/>
      <x:c r="D412" s="54" t="str"/>
      <x:c r="E412" s="54" t="str">
        <x:v>RECONSTRUCTED</x:v>
      </x:c>
      <x:c r="F412" s="54" t="str">
        <x:v>MEDIUM</x:v>
      </x:c>
      <x:c r="G412" s="54" t="str">
        <x:v>RECON</x:v>
      </x:c>
      <x:c r="H412" s="54" t="str"/>
      <x:c r="I412" s="54" t="str">
        <x:v>KIT-LABEL</x:v>
      </x:c>
      <x:c r="J412" s="65" t="str"/>
    </x:row>
    <x:row r="413">
      <x:c r="A413" s="54" t="str">
        <x:v>OFT-0026</x:v>
      </x:c>
      <x:c r="B413" s="54" t="str">
        <x:v>EA</x:v>
      </x:c>
      <x:c r="C413" s="64"/>
      <x:c r="D413" s="54" t="str"/>
      <x:c r="E413" s="54" t="str">
        <x:v>RECONSTRUCTED</x:v>
      </x:c>
      <x:c r="F413" s="54" t="str">
        <x:v>MEDIUM</x:v>
      </x:c>
      <x:c r="G413" s="54" t="str">
        <x:v>RECON</x:v>
      </x:c>
      <x:c r="H413" s="54" t="str"/>
      <x:c r="I413" s="54" t="str">
        <x:v>KIT-LABEL</x:v>
      </x:c>
      <x:c r="J413" s="65" t="str"/>
    </x:row>
    <x:row r="414">
      <x:c r="A414" s="54" t="str">
        <x:v>PRT-0154</x:v>
      </x:c>
      <x:c r="B414" s="54" t="str">
        <x:v>EA</x:v>
      </x:c>
      <x:c r="C414" s="64" t="n">
        <x:v>5</x:v>
      </x:c>
      <x:c r="D414" s="54" t="str"/>
      <x:c r="E414" s="54" t="str">
        <x:v>RECONSTRUCTED</x:v>
      </x:c>
      <x:c r="F414" s="54" t="str">
        <x:v>MEDIUM</x:v>
      </x:c>
      <x:c r="G414" s="54" t="str">
        <x:v>RECON</x:v>
      </x:c>
      <x:c r="H414" s="54" t="str"/>
      <x:c r="I414" s="54" t="str">
        <x:v>PART-ID</x:v>
      </x:c>
      <x:c r="J414" s="65" t="str"/>
    </x:row>
    <x:row r="415">
      <x:c r="A415" s="54" t="str">
        <x:v>ASM-0062</x:v>
      </x:c>
      <x:c r="B415" s="54" t="str">
        <x:v>EA</x:v>
      </x:c>
      <x:c r="C415" s="64" t="n">
        <x:v>95</x:v>
      </x:c>
      <x:c r="D415" s="54" t="str"/>
      <x:c r="E415" s="54" t="str">
        <x:v>RECONSTRUCTED</x:v>
      </x:c>
      <x:c r="F415" s="54" t="str">
        <x:v>MEDIUM</x:v>
      </x:c>
      <x:c r="G415" s="54" t="str">
        <x:v>RECON</x:v>
      </x:c>
      <x:c r="H415" s="54" t="str"/>
      <x:c r="I415" s="54" t="str">
        <x:v>KIT-LABEL</x:v>
      </x:c>
      <x:c r="J415" s="65" t="str"/>
    </x:row>
    <x:row r="416">
      <x:c r="A416" s="54" t="str">
        <x:v>PRT-0155</x:v>
      </x:c>
      <x:c r="B416" s="54" t="str">
        <x:v>EA</x:v>
      </x:c>
      <x:c r="C416" s="64" t="n">
        <x:v>7</x:v>
      </x:c>
      <x:c r="D416" s="54" t="str"/>
      <x:c r="E416" s="54" t="str">
        <x:v>RECONSTRUCTED</x:v>
      </x:c>
      <x:c r="F416" s="54" t="str">
        <x:v>MEDIUM</x:v>
      </x:c>
      <x:c r="G416" s="54" t="str">
        <x:v>RECON</x:v>
      </x:c>
      <x:c r="H416" s="54" t="str"/>
      <x:c r="I416" s="54" t="str">
        <x:v>PART-ID</x:v>
      </x:c>
      <x:c r="J416" s="65" t="str"/>
    </x:row>
    <x:row r="417">
      <x:c r="A417" s="54" t="str">
        <x:v>PRT-0156</x:v>
      </x:c>
      <x:c r="B417" s="54" t="str">
        <x:v>EA</x:v>
      </x:c>
      <x:c r="C417" s="64" t="n">
        <x:v>12</x:v>
      </x:c>
      <x:c r="D417" s="54" t="str"/>
      <x:c r="E417" s="54" t="str">
        <x:v>RECONSTRUCTED</x:v>
      </x:c>
      <x:c r="F417" s="54" t="str">
        <x:v>MEDIUM</x:v>
      </x:c>
      <x:c r="G417" s="54" t="str">
        <x:v>RECON</x:v>
      </x:c>
      <x:c r="H417" s="54" t="str"/>
      <x:c r="I417" s="54" t="str">
        <x:v>PART-ID</x:v>
      </x:c>
      <x:c r="J417" s="65" t="str"/>
    </x:row>
    <x:row r="418">
      <x:c r="A418" s="54" t="str">
        <x:v>KIT-0047</x:v>
      </x:c>
      <x:c r="B418" s="54" t="str">
        <x:v>EA</x:v>
      </x:c>
      <x:c r="C418" s="64" t="n">
        <x:v>45</x:v>
      </x:c>
      <x:c r="D418" s="54" t="str"/>
      <x:c r="E418" s="54" t="str">
        <x:v>RECONSTRUCTED</x:v>
      </x:c>
      <x:c r="F418" s="54" t="str">
        <x:v>MEDIUM</x:v>
      </x:c>
      <x:c r="G418" s="54" t="str">
        <x:v>RECON</x:v>
      </x:c>
      <x:c r="H418" s="54" t="str"/>
      <x:c r="I418" s="54" t="str">
        <x:v>KIT-LABEL</x:v>
      </x:c>
      <x:c r="J418" s="65" t="str"/>
    </x:row>
    <x:row r="419">
      <x:c r="A419" s="54" t="str">
        <x:v>ASM-0063</x:v>
      </x:c>
      <x:c r="B419" s="54" t="str">
        <x:v>EA</x:v>
      </x:c>
      <x:c r="C419" s="64" t="n">
        <x:v>180</x:v>
      </x:c>
      <x:c r="D419" s="54" t="str"/>
      <x:c r="E419" s="54" t="str">
        <x:v>RECONSTRUCTED</x:v>
      </x:c>
      <x:c r="F419" s="54" t="str">
        <x:v>MEDIUM</x:v>
      </x:c>
      <x:c r="G419" s="54" t="str">
        <x:v>RECON</x:v>
      </x:c>
      <x:c r="H419" s="54" t="str"/>
      <x:c r="I419" s="54" t="str">
        <x:v>KIT-LABEL</x:v>
      </x:c>
      <x:c r="J419" s="65" t="str"/>
    </x:row>
    <x:row r="420">
      <x:c r="A420" s="54" t="str">
        <x:v>KIT-0048</x:v>
      </x:c>
      <x:c r="B420" s="54" t="str">
        <x:v>EA</x:v>
      </x:c>
      <x:c r="C420" s="64"/>
      <x:c r="D420" s="54" t="str"/>
      <x:c r="E420" s="54" t="str">
        <x:v>RECONSTRUCTED</x:v>
      </x:c>
      <x:c r="F420" s="54" t="str">
        <x:v>MEDIUM</x:v>
      </x:c>
      <x:c r="G420" s="54" t="str">
        <x:v>RECON</x:v>
      </x:c>
      <x:c r="H420" s="54" t="str"/>
      <x:c r="I420" s="54" t="str">
        <x:v>KIT-LABEL</x:v>
      </x:c>
      <x:c r="J420" s="65" t="str"/>
    </x:row>
    <x:row r="421">
      <x:c r="A421" s="54" t="str">
        <x:v>PKG-0017</x:v>
      </x:c>
      <x:c r="B421" s="54" t="str">
        <x:v>EA</x:v>
      </x:c>
      <x:c r="C421" s="64" t="n">
        <x:v>25</x:v>
      </x:c>
      <x:c r="D421" s="54" t="str"/>
      <x:c r="E421" s="54" t="str">
        <x:v>RECONSTRUCTED</x:v>
      </x:c>
      <x:c r="F421" s="54" t="str">
        <x:v>MEDIUM</x:v>
      </x:c>
      <x:c r="G421" s="54" t="str">
        <x:v>RECON</x:v>
      </x:c>
      <x:c r="H421" s="54" t="str"/>
      <x:c r="I421" s="54" t="str">
        <x:v>KIT-LABEL</x:v>
      </x:c>
      <x:c r="J421" s="65" t="str"/>
    </x:row>
    <x:row r="422">
      <x:c r="A422" s="54" t="str">
        <x:v>LBL-0012</x:v>
      </x:c>
      <x:c r="B422" s="54" t="str">
        <x:v>EA</x:v>
      </x:c>
      <x:c r="C422" s="64"/>
      <x:c r="D422" s="54" t="str"/>
      <x:c r="E422" s="54" t="str">
        <x:v>FICTIONAL</x:v>
      </x:c>
      <x:c r="F422" s="54" t="str">
        <x:v>N/A</x:v>
      </x:c>
      <x:c r="G422" s="54" t="str">
        <x:v>FICTION</x:v>
      </x:c>
      <x:c r="H422" s="54" t="str">
        <x:v>FIRE</x:v>
      </x:c>
      <x:c r="I422" s="54" t="str">
        <x:v>EMERGENCY</x:v>
      </x:c>
      <x:c r="J422" s="65" t="str"/>
    </x:row>
    <x:row r="423">
      <x:c r="A423" s="54" t="str">
        <x:v>LBL-0013</x:v>
      </x:c>
      <x:c r="B423" s="54" t="str">
        <x:v>EA</x:v>
      </x:c>
      <x:c r="C423" s="64"/>
      <x:c r="D423" s="54" t="str"/>
      <x:c r="E423" s="54" t="str">
        <x:v>FICTIONAL</x:v>
      </x:c>
      <x:c r="F423" s="54" t="str">
        <x:v>N/A</x:v>
      </x:c>
      <x:c r="G423" s="54" t="str">
        <x:v>FICTION</x:v>
      </x:c>
      <x:c r="H423" s="54" t="str"/>
      <x:c r="I423" s="54" t="str">
        <x:v>EMERGENCY</x:v>
      </x:c>
      <x:c r="J423" s="65" t="str"/>
    </x:row>
    <x:row r="424">
      <x:c r="A424" s="54" t="str">
        <x:v>LBL-0014</x:v>
      </x:c>
      <x:c r="B424" s="54" t="str">
        <x:v>EA</x:v>
      </x:c>
      <x:c r="C424" s="64"/>
      <x:c r="D424" s="54" t="str"/>
      <x:c r="E424" s="54" t="str">
        <x:v>FICTIONAL</x:v>
      </x:c>
      <x:c r="F424" s="54" t="str">
        <x:v>N/A</x:v>
      </x:c>
      <x:c r="G424" s="54" t="str">
        <x:v>FICTION</x:v>
      </x:c>
      <x:c r="H424" s="54" t="str"/>
      <x:c r="I424" s="54" t="str">
        <x:v>LABEL-STOCK</x:v>
      </x:c>
      <x:c r="J424" s="65" t="str"/>
    </x:row>
    <x:row r="425">
      <x:c r="A425" s="54" t="str">
        <x:v>LBL-0015</x:v>
      </x:c>
      <x:c r="B425" s="54" t="str">
        <x:v>EA</x:v>
      </x:c>
      <x:c r="C425" s="64"/>
      <x:c r="D425" s="54" t="str"/>
      <x:c r="E425" s="54" t="str">
        <x:v>FICTIONAL</x:v>
      </x:c>
      <x:c r="F425" s="54" t="str">
        <x:v>N/A</x:v>
      </x:c>
      <x:c r="G425" s="54" t="str">
        <x:v>FICTION</x:v>
      </x:c>
      <x:c r="H425" s="54" t="str"/>
      <x:c r="I425" s="54" t="str">
        <x:v>INSPECTION</x:v>
      </x:c>
      <x:c r="J425" s="65" t="str"/>
    </x:row>
    <x:row r="426">
      <x:c r="A426" s="54" t="str">
        <x:v>LBL-0016</x:v>
      </x:c>
      <x:c r="B426" s="54" t="str">
        <x:v>EA</x:v>
      </x:c>
      <x:c r="C426" s="64"/>
      <x:c r="D426" s="54" t="str"/>
      <x:c r="E426" s="54" t="str">
        <x:v>FICTIONAL</x:v>
      </x:c>
      <x:c r="F426" s="54" t="str">
        <x:v>N/A</x:v>
      </x:c>
      <x:c r="G426" s="54" t="str">
        <x:v>FICTION</x:v>
      </x:c>
      <x:c r="H426" s="54" t="str"/>
      <x:c r="I426" s="54" t="str">
        <x:v>LABEL-STOCK</x:v>
      </x:c>
      <x:c r="J426" s="65" t="str"/>
    </x:row>
    <x:row r="427">
      <x:c r="A427" s="54" t="str">
        <x:v>LBL-0017</x:v>
      </x:c>
      <x:c r="B427" s="54" t="str">
        <x:v>EA</x:v>
      </x:c>
      <x:c r="C427" s="64"/>
      <x:c r="D427" s="54" t="str"/>
      <x:c r="E427" s="54" t="str">
        <x:v>FICTIONAL</x:v>
      </x:c>
      <x:c r="F427" s="54" t="str">
        <x:v>N/A</x:v>
      </x:c>
      <x:c r="G427" s="54" t="str">
        <x:v>FICTION</x:v>
      </x:c>
      <x:c r="H427" s="54" t="str"/>
      <x:c r="I427" s="54" t="str">
        <x:v>LABEL-STOCK</x:v>
      </x:c>
      <x:c r="J427" s="65" t="str"/>
    </x:row>
    <x:row r="428">
      <x:c r="A428" s="54" t="str">
        <x:v>LBL-0018</x:v>
      </x:c>
      <x:c r="B428" s="54" t="str">
        <x:v>EA</x:v>
      </x:c>
      <x:c r="C428" s="64"/>
      <x:c r="D428" s="54" t="str"/>
      <x:c r="E428" s="54" t="str">
        <x:v>FICTIONAL</x:v>
      </x:c>
      <x:c r="F428" s="54" t="str">
        <x:v>N/A</x:v>
      </x:c>
      <x:c r="G428" s="54" t="str">
        <x:v>FICTION</x:v>
      </x:c>
      <x:c r="H428" s="54" t="str"/>
      <x:c r="I428" s="54" t="str">
        <x:v>HOLD-TAG</x:v>
      </x:c>
      <x:c r="J428" s="65" t="str"/>
    </x:row>
    <x:row r="429">
      <x:c r="A429" s="54" t="str">
        <x:v>LBL-0019</x:v>
      </x:c>
      <x:c r="B429" s="54" t="str">
        <x:v>EA</x:v>
      </x:c>
      <x:c r="C429" s="64"/>
      <x:c r="D429" s="54" t="str"/>
      <x:c r="E429" s="54" t="str">
        <x:v>FICTIONAL</x:v>
      </x:c>
      <x:c r="F429" s="54" t="str">
        <x:v>N/A</x:v>
      </x:c>
      <x:c r="G429" s="54" t="str">
        <x:v>FICTION</x:v>
      </x:c>
      <x:c r="H429" s="54" t="str"/>
      <x:c r="I429" s="54" t="str">
        <x:v>APPROVAL</x:v>
      </x:c>
      <x:c r="J429" s="65" t="str"/>
    </x:row>
    <x:row r="430">
      <x:c r="A430" s="54" t="str">
        <x:v>MAT-0041</x:v>
      </x:c>
      <x:c r="B430" s="54" t="str">
        <x:v>SHEET</x:v>
      </x:c>
      <x:c r="C430" s="64" t="n">
        <x:v>0.08</x:v>
      </x:c>
      <x:c r="D430" s="54" t="str"/>
      <x:c r="E430" s="54" t="str">
        <x:v>FICTIONAL</x:v>
      </x:c>
      <x:c r="F430" s="54" t="str">
        <x:v>N/A</x:v>
      </x:c>
      <x:c r="G430" s="54" t="str">
        <x:v>FICTION</x:v>
      </x:c>
      <x:c r="H430" s="54" t="str"/>
      <x:c r="I430" s="54" t="str">
        <x:v>STORES-LABEL</x:v>
      </x:c>
      <x:c r="J430" s="65" t="str"/>
    </x:row>
    <x:row r="431">
      <x:c r="A431" s="54" t="str">
        <x:v>MAT-0042</x:v>
      </x:c>
      <x:c r="B431" s="54" t="str">
        <x:v>EA</x:v>
      </x:c>
      <x:c r="C431" s="64" t="n">
        <x:v>0.01</x:v>
      </x:c>
      <x:c r="D431" s="54" t="str"/>
      <x:c r="E431" s="54" t="str">
        <x:v>FICTIONAL</x:v>
      </x:c>
      <x:c r="F431" s="54" t="str">
        <x:v>N/A</x:v>
      </x:c>
      <x:c r="G431" s="54" t="str">
        <x:v>FICTION</x:v>
      </x:c>
      <x:c r="H431" s="54" t="str"/>
      <x:c r="I431" s="54" t="str">
        <x:v>STORES-LABEL</x:v>
      </x:c>
      <x:c r="J431" s="6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2" hidden="0" customWidth="1"/>
    <x:col min="4" max="4" width="42" hidden="0" customWidth="1"/>
    <x:col min="5" max="5" width="16" hidden="0" customWidth="1"/>
    <x:col min="6" max="6" width="16" hidden="0" customWidth="1"/>
    <x:col min="7" max="7" width="18" hidden="0" customWidth="1"/>
    <x:col min="8" max="8" width="80" hidden="0" customWidth="1"/>
    <x:col min="9" max="9" width="80" hidden="0" customWidth="1"/>
  </x:cols>
  <x:sheetData>
    <x:row r="1" ht="34" customHeight="1">
      <x:c r="A1" s="3" t="str">
        <x:v>RECURSIVE TREE</x:v>
      </x:c>
      <x:c r="B1" s="3"/>
      <x:c r="C1" s="3"/>
      <x:c r="D1" s="3"/>
      <x:c r="E1" s="3"/>
      <x:c r="F1" s="3"/>
      <x:c r="G1" s="3"/>
      <x:c r="H1" s="3"/>
      <x:c r="I1"/>
    </x:row>
    <x:row r="2" ht="28" customHeight="1">
      <x:c r="A2" s="6" t="str">
        <x:v>One row per unique BOM path from QAR-0001; extended quantities multiply through every level</x:v>
      </x:c>
      <x:c r="B2" s="6"/>
      <x:c r="C2" s="6"/>
      <x:c r="D2" s="6"/>
      <x:c r="E2" s="6"/>
      <x:c r="F2" s="6"/>
      <x:c r="G2" s="6"/>
      <x:c r="H2" s="6"/>
      <x:c r="I2"/>
    </x:row>
    <x:row r="3" ht="25" customHeight="1">
      <x:c r="A3" s="60" t="str">
        <x:v>Depth</x:v>
      </x:c>
      <x:c r="B3" s="61" t="str">
        <x:v>ParentSKU</x:v>
      </x:c>
      <x:c r="C3" s="61" t="str">
        <x:v>SKU</x:v>
      </x:c>
      <x:c r="D3" s="61" t="str">
        <x:v>ItemName</x:v>
      </x:c>
      <x:c r="E3" s="61" t="str">
        <x:v>UnitQuantity</x:v>
      </x:c>
      <x:c r="F3" s="61" t="str">
        <x:v>ExtendedQuantity</x:v>
      </x:c>
      <x:c r="G3" s="61" t="str">
        <x:v>HistoricalBasis</x:v>
      </x:c>
      <x:c r="H3" s="61" t="str">
        <x:v>Path</x:v>
      </x:c>
      <x:c r="I3"/>
    </x:row>
    <x:row r="4">
      <x:c r="A4" s="63" t="n">
        <x:v>1</x:v>
      </x:c>
      <x:c r="B4" s="63" t="str">
        <x:v>QAR-0001</x:v>
      </x:c>
      <x:c r="C4" s="63" t="str">
        <x:v>QAR-0002</x:v>
      </x:c>
      <x:c r="D4" s="63" t="str">
        <x:v>Hull, Deck and Fixed Ship Fittings</x:v>
      </x:c>
      <x:c r="E4" s="63" t="n">
        <x:v>1</x:v>
      </x:c>
      <x:c r="F4" s="63" t="n">
        <x:v>1</x:v>
      </x:c>
      <x:c r="G4" s="54" t="str">
        <x:v>RECONSTRUCTED</x:v>
      </x:c>
      <x:c r="H4" s="54" t="str">
        <x:v>QAR-0001 &gt; QAR-0002</x:v>
      </x:c>
      <x:c r="I4"/>
    </x:row>
    <x:row r="5">
      <x:c r="A5" s="63" t="n">
        <x:v>2</x:v>
      </x:c>
      <x:c r="B5" s="63" t="str">
        <x:v>QAR-0002</x:v>
      </x:c>
      <x:c r="C5" s="63" t="str">
        <x:v>QAR-0017</x:v>
      </x:c>
      <x:c r="D5" s="63" t="str">
        <x:v>Hull Structure Assembly</x:v>
      </x:c>
      <x:c r="E5" s="63" t="n">
        <x:v>1</x:v>
      </x:c>
      <x:c r="F5" s="63" t="n">
        <x:v>1</x:v>
      </x:c>
      <x:c r="G5" s="54" t="str">
        <x:v>RECONSTRUCTED</x:v>
      </x:c>
      <x:c r="H5" s="54" t="str">
        <x:v>QAR-0001 &gt; QAR-0002 &gt; QAR-0017</x:v>
      </x:c>
      <x:c r="I5"/>
    </x:row>
    <x:row r="6">
      <x:c r="A6" s="63" t="n">
        <x:v>3</x:v>
      </x:c>
      <x:c r="B6" s="63" t="str">
        <x:v>QAR-0017</x:v>
      </x:c>
      <x:c r="C6" s="63" t="str">
        <x:v>QAR-0019</x:v>
      </x:c>
      <x:c r="D6" s="63" t="str">
        <x:v>Keel and Keelson Assembly</x:v>
      </x:c>
      <x:c r="E6" s="63" t="n">
        <x:v>1</x:v>
      </x:c>
      <x:c r="F6" s="63" t="n">
        <x:v>1</x:v>
      </x:c>
      <x:c r="G6" s="54" t="str">
        <x:v>RECONSTRUCTED</x:v>
      </x:c>
      <x:c r="H6" s="54" t="str">
        <x:v>QAR-0001 &gt; QAR-0002 &gt; QAR-0017 &gt; QAR-0019</x:v>
      </x:c>
      <x:c r="I6"/>
    </x:row>
    <x:row r="7">
      <x:c r="A7" s="63" t="n">
        <x:v>3</x:v>
      </x:c>
      <x:c r="B7" s="63" t="str">
        <x:v>QAR-0017</x:v>
      </x:c>
      <x:c r="C7" s="63" t="str">
        <x:v>QAR-0020</x:v>
      </x:c>
      <x:c r="D7" s="63" t="str">
        <x:v>Paired Frame Component Set</x:v>
      </x:c>
      <x:c r="E7" s="63" t="n">
        <x:v>1</x:v>
      </x:c>
      <x:c r="F7" s="63" t="n">
        <x:v>1</x:v>
      </x:c>
      <x:c r="G7" s="54" t="str">
        <x:v>RECOVERED</x:v>
      </x:c>
      <x:c r="H7" s="54" t="str">
        <x:v>QAR-0001 &gt; QAR-0002 &gt; QAR-0017 &gt; QAR-0020</x:v>
      </x:c>
      <x:c r="I7"/>
    </x:row>
    <x:row r="8">
      <x:c r="A8" s="63" t="n">
        <x:v>3</x:v>
      </x:c>
      <x:c r="B8" s="63" t="str">
        <x:v>QAR-0017</x:v>
      </x:c>
      <x:c r="C8" s="63" t="str">
        <x:v>QAR-0021</x:v>
      </x:c>
      <x:c r="D8" s="63" t="str">
        <x:v>Outer Hull Planking Set</x:v>
      </x:c>
      <x:c r="E8" s="63" t="n">
        <x:v>1</x:v>
      </x:c>
      <x:c r="F8" s="63" t="n">
        <x:v>1</x:v>
      </x:c>
      <x:c r="G8" s="54" t="str">
        <x:v>RECOVERED</x:v>
      </x:c>
      <x:c r="H8" s="54" t="str">
        <x:v>QAR-0001 &gt; QAR-0002 &gt; QAR-0017 &gt; QAR-0021</x:v>
      </x:c>
      <x:c r="I8"/>
    </x:row>
    <x:row r="9">
      <x:c r="A9" s="63" t="n">
        <x:v>3</x:v>
      </x:c>
      <x:c r="B9" s="63" t="str">
        <x:v>QAR-0017</x:v>
      </x:c>
      <x:c r="C9" s="63" t="str">
        <x:v>QAR-0022</x:v>
      </x:c>
      <x:c r="D9" s="63" t="str">
        <x:v>Sacrificial Hull Sheathing Set</x:v>
      </x:c>
      <x:c r="E9" s="63" t="n">
        <x:v>1</x:v>
      </x:c>
      <x:c r="F9" s="63" t="n">
        <x:v>1</x:v>
      </x:c>
      <x:c r="G9" s="54" t="str">
        <x:v>RECOVERED</x:v>
      </x:c>
      <x:c r="H9" s="54" t="str">
        <x:v>QAR-0001 &gt; QAR-0002 &gt; QAR-0017 &gt; QAR-0022</x:v>
      </x:c>
      <x:c r="I9"/>
    </x:row>
    <x:row r="10">
      <x:c r="A10" s="63" t="n">
        <x:v>3</x:v>
      </x:c>
      <x:c r="B10" s="63" t="str">
        <x:v>QAR-0017</x:v>
      </x:c>
      <x:c r="C10" s="63" t="str">
        <x:v>KIT-0001</x:v>
      </x:c>
      <x:c r="D10" s="63" t="str">
        <x:v>Hull Fastener Lot</x:v>
      </x:c>
      <x:c r="E10" s="63" t="n">
        <x:v>1</x:v>
      </x:c>
      <x:c r="F10" s="63" t="n">
        <x:v>1</x:v>
      </x:c>
      <x:c r="G10" s="54" t="str">
        <x:v>RECONSTRUCTED</x:v>
      </x:c>
      <x:c r="H10" s="54" t="str">
        <x:v>QAR-0001 &gt; QAR-0002 &gt; QAR-0017 &gt; KIT-0001</x:v>
      </x:c>
      <x:c r="I10"/>
    </x:row>
    <x:row r="11">
      <x:c r="A11" s="63" t="n">
        <x:v>4</x:v>
      </x:c>
      <x:c r="B11" s="63" t="str">
        <x:v>KIT-0001</x:v>
      </x:c>
      <x:c r="C11" s="63" t="str">
        <x:v>PRT-0001</x:v>
      </x:c>
      <x:c r="D11" s="63" t="str">
        <x:v>Oak Treenail</x:v>
      </x:c>
      <x:c r="E11" s="63" t="n">
        <x:v>1800</x:v>
      </x:c>
      <x:c r="F11" s="63" t="n">
        <x:v>1800</x:v>
      </x:c>
      <x:c r="G11" s="54" t="str">
        <x:v>RECOVERED</x:v>
      </x:c>
      <x:c r="H11" s="54" t="str">
        <x:v>QAR-0001 &gt; QAR-0002 &gt; QAR-0017 &gt; KIT-0001 &gt; PRT-0001</x:v>
      </x:c>
      <x:c r="I11"/>
    </x:row>
    <x:row r="12">
      <x:c r="A12" s="63" t="n">
        <x:v>4</x:v>
      </x:c>
      <x:c r="B12" s="63" t="str">
        <x:v>KIT-0001</x:v>
      </x:c>
      <x:c r="C12" s="63" t="str">
        <x:v>PRT-0002</x:v>
      </x:c>
      <x:c r="D12" s="63" t="str">
        <x:v>Large Wrought-Iron Hull Spike</x:v>
      </x:c>
      <x:c r="E12" s="63" t="n">
        <x:v>700</x:v>
      </x:c>
      <x:c r="F12" s="63" t="n">
        <x:v>700</x:v>
      </x:c>
      <x:c r="G12" s="54" t="str">
        <x:v>RECOVERED</x:v>
      </x:c>
      <x:c r="H12" s="54" t="str">
        <x:v>QAR-0001 &gt; QAR-0002 &gt; QAR-0017 &gt; KIT-0001 &gt; PRT-0002</x:v>
      </x:c>
      <x:c r="I12"/>
    </x:row>
    <x:row r="13">
      <x:c r="A13" s="63" t="n">
        <x:v>4</x:v>
      </x:c>
      <x:c r="B13" s="63" t="str">
        <x:v>KIT-0001</x:v>
      </x:c>
      <x:c r="C13" s="63" t="str">
        <x:v>PRT-0003</x:v>
      </x:c>
      <x:c r="D13" s="63" t="str">
        <x:v>Iron Drift Pin</x:v>
      </x:c>
      <x:c r="E13" s="63" t="n">
        <x:v>240</x:v>
      </x:c>
      <x:c r="F13" s="63" t="n">
        <x:v>240</x:v>
      </x:c>
      <x:c r="G13" s="54" t="str">
        <x:v>RECOVERED</x:v>
      </x:c>
      <x:c r="H13" s="54" t="str">
        <x:v>QAR-0001 &gt; QAR-0002 &gt; QAR-0017 &gt; KIT-0001 &gt; PRT-0003</x:v>
      </x:c>
      <x:c r="I13"/>
    </x:row>
    <x:row r="14">
      <x:c r="A14" s="63" t="n">
        <x:v>4</x:v>
      </x:c>
      <x:c r="B14" s="63" t="str">
        <x:v>KIT-0001</x:v>
      </x:c>
      <x:c r="C14" s="63" t="str">
        <x:v>PRT-0004</x:v>
      </x:c>
      <x:c r="D14" s="63" t="str">
        <x:v>Hull Sealing Lead Strip</x:v>
      </x:c>
      <x:c r="E14" s="63" t="n">
        <x:v>80</x:v>
      </x:c>
      <x:c r="F14" s="63" t="n">
        <x:v>80</x:v>
      </x:c>
      <x:c r="G14" s="54" t="str">
        <x:v>RECOVERED</x:v>
      </x:c>
      <x:c r="H14" s="54" t="str">
        <x:v>QAR-0001 &gt; QAR-0002 &gt; QAR-0017 &gt; KIT-0001 &gt; PRT-0004</x:v>
      </x:c>
      <x:c r="I14"/>
    </x:row>
    <x:row r="15">
      <x:c r="A15" s="63" t="n">
        <x:v>2</x:v>
      </x:c>
      <x:c r="B15" s="63" t="str">
        <x:v>QAR-0002</x:v>
      </x:c>
      <x:c r="C15" s="63" t="str">
        <x:v>OFT-0001</x:v>
      </x:c>
      <x:c r="D15" s="63" t="str">
        <x:v>Deck Machinery and Fittings Outfit</x:v>
      </x:c>
      <x:c r="E15" s="63" t="n">
        <x:v>1</x:v>
      </x:c>
      <x:c r="F15" s="63" t="n">
        <x:v>1</x:v>
      </x:c>
      <x:c r="G15" s="54" t="str">
        <x:v>RECONSTRUCTED</x:v>
      </x:c>
      <x:c r="H15" s="54" t="str">
        <x:v>QAR-0001 &gt; QAR-0002 &gt; OFT-0001</x:v>
      </x:c>
      <x:c r="I15"/>
    </x:row>
    <x:row r="16">
      <x:c r="A16" s="63" t="n">
        <x:v>3</x:v>
      </x:c>
      <x:c r="B16" s="63" t="str">
        <x:v>OFT-0001</x:v>
      </x:c>
      <x:c r="C16" s="63" t="str">
        <x:v>ASM-0001</x:v>
      </x:c>
      <x:c r="D16" s="63" t="str">
        <x:v>Main Capstan Assembly</x:v>
      </x:c>
      <x:c r="E16" s="63" t="n">
        <x:v>1</x:v>
      </x:c>
      <x:c r="F16" s="63" t="n">
        <x:v>1</x:v>
      </x:c>
      <x:c r="G16" s="54" t="str">
        <x:v>RECONSTRUCTED</x:v>
      </x:c>
      <x:c r="H16" s="54" t="str">
        <x:v>QAR-0001 &gt; QAR-0002 &gt; OFT-0001 &gt; ASM-0001</x:v>
      </x:c>
      <x:c r="I16"/>
    </x:row>
    <x:row r="17">
      <x:c r="A17" s="63" t="n">
        <x:v>4</x:v>
      </x:c>
      <x:c r="B17" s="63" t="str">
        <x:v>ASM-0001</x:v>
      </x:c>
      <x:c r="C17" s="63" t="str">
        <x:v>PRT-0008</x:v>
      </x:c>
      <x:c r="D17" s="63" t="str">
        <x:v>Capstan Bar</x:v>
      </x:c>
      <x:c r="E17" s="63" t="n">
        <x:v>8</x:v>
      </x:c>
      <x:c r="F17" s="63" t="n">
        <x:v>8</x:v>
      </x:c>
      <x:c r="G17" s="54" t="str">
        <x:v>RECONSTRUCTED</x:v>
      </x:c>
      <x:c r="H17" s="54" t="str">
        <x:v>QAR-0001 &gt; QAR-0002 &gt; OFT-0001 &gt; ASM-0001 &gt; PRT-0008</x:v>
      </x:c>
      <x:c r="I17"/>
    </x:row>
    <x:row r="18">
      <x:c r="A18" s="63" t="n">
        <x:v>4</x:v>
      </x:c>
      <x:c r="B18" s="63" t="str">
        <x:v>ASM-0001</x:v>
      </x:c>
      <x:c r="C18" s="63" t="str">
        <x:v>PRT-0007</x:v>
      </x:c>
      <x:c r="D18" s="63" t="str">
        <x:v>Wrought-Iron Ring Bolt</x:v>
      </x:c>
      <x:c r="E18" s="63" t="n">
        <x:v>8</x:v>
      </x:c>
      <x:c r="F18" s="63" t="n">
        <x:v>8</x:v>
      </x:c>
      <x:c r="G18" s="54" t="str">
        <x:v>RECONSTRUCTED</x:v>
      </x:c>
      <x:c r="H18" s="54" t="str">
        <x:v>QAR-0001 &gt; QAR-0002 &gt; OFT-0001 &gt; ASM-0001 &gt; PRT-0007</x:v>
      </x:c>
      <x:c r="I18"/>
    </x:row>
    <x:row r="19">
      <x:c r="A19" s="63" t="n">
        <x:v>3</x:v>
      </x:c>
      <x:c r="B19" s="63" t="str">
        <x:v>OFT-0001</x:v>
      </x:c>
      <x:c r="C19" s="63" t="str">
        <x:v>ASM-0002</x:v>
      </x:c>
      <x:c r="D19" s="63" t="str">
        <x:v>Foredeck Windlass Assembly</x:v>
      </x:c>
      <x:c r="E19" s="63" t="n">
        <x:v>1</x:v>
      </x:c>
      <x:c r="F19" s="63" t="n">
        <x:v>1</x:v>
      </x:c>
      <x:c r="G19" s="54" t="str">
        <x:v>RECONSTRUCTED</x:v>
      </x:c>
      <x:c r="H19" s="54" t="str">
        <x:v>QAR-0001 &gt; QAR-0002 &gt; OFT-0001 &gt; ASM-0002</x:v>
      </x:c>
      <x:c r="I19"/>
    </x:row>
    <x:row r="20">
      <x:c r="A20" s="63" t="n">
        <x:v>4</x:v>
      </x:c>
      <x:c r="B20" s="63" t="str">
        <x:v>ASM-0002</x:v>
      </x:c>
      <x:c r="C20" s="63" t="str">
        <x:v>PRT-0009</x:v>
      </x:c>
      <x:c r="D20" s="63" t="str">
        <x:v>Windlass Handspike</x:v>
      </x:c>
      <x:c r="E20" s="63" t="n">
        <x:v>6</x:v>
      </x:c>
      <x:c r="F20" s="63" t="n">
        <x:v>6</x:v>
      </x:c>
      <x:c r="G20" s="54" t="str">
        <x:v>RECONSTRUCTED</x:v>
      </x:c>
      <x:c r="H20" s="54" t="str">
        <x:v>QAR-0001 &gt; QAR-0002 &gt; OFT-0001 &gt; ASM-0002 &gt; PRT-0009</x:v>
      </x:c>
      <x:c r="I20"/>
    </x:row>
    <x:row r="21">
      <x:c r="A21" s="63" t="n">
        <x:v>4</x:v>
      </x:c>
      <x:c r="B21" s="63" t="str">
        <x:v>ASM-0002</x:v>
      </x:c>
      <x:c r="C21" s="63" t="str">
        <x:v>PRT-0007</x:v>
      </x:c>
      <x:c r="D21" s="63" t="str">
        <x:v>Wrought-Iron Ring Bolt</x:v>
      </x:c>
      <x:c r="E21" s="63" t="n">
        <x:v>6</x:v>
      </x:c>
      <x:c r="F21" s="63" t="n">
        <x:v>6</x:v>
      </x:c>
      <x:c r="G21" s="54" t="str">
        <x:v>RECONSTRUCTED</x:v>
      </x:c>
      <x:c r="H21" s="54" t="str">
        <x:v>QAR-0001 &gt; QAR-0002 &gt; OFT-0001 &gt; ASM-0002 &gt; PRT-0007</x:v>
      </x:c>
      <x:c r="I21"/>
    </x:row>
    <x:row r="22">
      <x:c r="A22" s="63" t="n">
        <x:v>3</x:v>
      </x:c>
      <x:c r="B22" s="63" t="str">
        <x:v>OFT-0001</x:v>
      </x:c>
      <x:c r="C22" s="63" t="str">
        <x:v>ASM-0003</x:v>
      </x:c>
      <x:c r="D22" s="63" t="str">
        <x:v>Removable Hatch Grating</x:v>
      </x:c>
      <x:c r="E22" s="63" t="n">
        <x:v>5</x:v>
      </x:c>
      <x:c r="F22" s="63" t="n">
        <x:v>5</x:v>
      </x:c>
      <x:c r="G22" s="54" t="str">
        <x:v>RECONSTRUCTED</x:v>
      </x:c>
      <x:c r="H22" s="54" t="str">
        <x:v>QAR-0001 &gt; QAR-0002 &gt; OFT-0001 &gt; ASM-0003</x:v>
      </x:c>
      <x:c r="I22"/>
    </x:row>
    <x:row r="23">
      <x:c r="A23" s="63" t="n">
        <x:v>3</x:v>
      </x:c>
      <x:c r="B23" s="63" t="str">
        <x:v>OFT-0001</x:v>
      </x:c>
      <x:c r="C23" s="63" t="str">
        <x:v>ASM-0004</x:v>
      </x:c>
      <x:c r="D23" s="63" t="str">
        <x:v>Deck Ladder Assembly</x:v>
      </x:c>
      <x:c r="E23" s="63" t="n">
        <x:v>6</x:v>
      </x:c>
      <x:c r="F23" s="63" t="n">
        <x:v>6</x:v>
      </x:c>
      <x:c r="G23" s="54" t="str">
        <x:v>RECONSTRUCTED</x:v>
      </x:c>
      <x:c r="H23" s="54" t="str">
        <x:v>QAR-0001 &gt; QAR-0002 &gt; OFT-0001 &gt; ASM-0004</x:v>
      </x:c>
      <x:c r="I23"/>
    </x:row>
    <x:row r="24">
      <x:c r="A24" s="63" t="n">
        <x:v>3</x:v>
      </x:c>
      <x:c r="B24" s="63" t="str">
        <x:v>OFT-0001</x:v>
      </x:c>
      <x:c r="C24" s="63" t="str">
        <x:v>KIT-0002</x:v>
      </x:c>
      <x:c r="D24" s="63" t="str">
        <x:v>Rail Hook and Ring Fitting Set</x:v>
      </x:c>
      <x:c r="E24" s="63" t="n">
        <x:v>1</x:v>
      </x:c>
      <x:c r="F24" s="63" t="n">
        <x:v>1</x:v>
      </x:c>
      <x:c r="G24" s="54" t="str">
        <x:v>RECONSTRUCTED</x:v>
      </x:c>
      <x:c r="H24" s="54" t="str">
        <x:v>QAR-0001 &gt; QAR-0002 &gt; OFT-0001 &gt; KIT-0002</x:v>
      </x:c>
      <x:c r="I24"/>
    </x:row>
    <x:row r="25">
      <x:c r="A25" s="63" t="n">
        <x:v>4</x:v>
      </x:c>
      <x:c r="B25" s="63" t="str">
        <x:v>KIT-0002</x:v>
      </x:c>
      <x:c r="C25" s="63" t="str">
        <x:v>PRT-0006</x:v>
      </x:c>
      <x:c r="D25" s="63" t="str">
        <x:v>Wrought-Iron Utility Hook</x:v>
      </x:c>
      <x:c r="E25" s="63" t="n">
        <x:v>40</x:v>
      </x:c>
      <x:c r="F25" s="63" t="n">
        <x:v>40</x:v>
      </x:c>
      <x:c r="G25" s="54" t="str">
        <x:v>RECOVERED</x:v>
      </x:c>
      <x:c r="H25" s="54" t="str">
        <x:v>QAR-0001 &gt; QAR-0002 &gt; OFT-0001 &gt; KIT-0002 &gt; PRT-0006</x:v>
      </x:c>
      <x:c r="I25"/>
    </x:row>
    <x:row r="26">
      <x:c r="A26" s="63" t="n">
        <x:v>4</x:v>
      </x:c>
      <x:c r="B26" s="63" t="str">
        <x:v>KIT-0002</x:v>
      </x:c>
      <x:c r="C26" s="63" t="str">
        <x:v>PRT-0007</x:v>
      </x:c>
      <x:c r="D26" s="63" t="str">
        <x:v>Wrought-Iron Ring Bolt</x:v>
      </x:c>
      <x:c r="E26" s="63" t="n">
        <x:v>48</x:v>
      </x:c>
      <x:c r="F26" s="63" t="n">
        <x:v>48</x:v>
      </x:c>
      <x:c r="G26" s="54" t="str">
        <x:v>RECONSTRUCTED</x:v>
      </x:c>
      <x:c r="H26" s="54" t="str">
        <x:v>QAR-0001 &gt; QAR-0002 &gt; OFT-0001 &gt; KIT-0002 &gt; PRT-0007</x:v>
      </x:c>
      <x:c r="I26"/>
    </x:row>
    <x:row r="27">
      <x:c r="A27" s="63" t="n">
        <x:v>3</x:v>
      </x:c>
      <x:c r="B27" s="63" t="str">
        <x:v>OFT-0001</x:v>
      </x:c>
      <x:c r="C27" s="63" t="str">
        <x:v>PRT-0005</x:v>
      </x:c>
      <x:c r="D27" s="63" t="str">
        <x:v>Ship's Bell</x:v>
      </x:c>
      <x:c r="E27" s="63" t="n">
        <x:v>1</x:v>
      </x:c>
      <x:c r="F27" s="63" t="n">
        <x:v>1</x:v>
      </x:c>
      <x:c r="G27" s="54" t="str">
        <x:v>RECOVERED</x:v>
      </x:c>
      <x:c r="H27" s="54" t="str">
        <x:v>QAR-0001 &gt; QAR-0002 &gt; OFT-0001 &gt; PRT-0005</x:v>
      </x:c>
      <x:c r="I27"/>
    </x:row>
    <x:row r="28">
      <x:c r="A28" s="63" t="n">
        <x:v>3</x:v>
      </x:c>
      <x:c r="B28" s="63" t="str">
        <x:v>OFT-0001</x:v>
      </x:c>
      <x:c r="C28" s="63" t="str">
        <x:v>ASM-0005</x:v>
      </x:c>
      <x:c r="D28" s="63" t="str">
        <x:v>Seat of Ease</x:v>
      </x:c>
      <x:c r="E28" s="63" t="n">
        <x:v>2</x:v>
      </x:c>
      <x:c r="F28" s="63" t="n">
        <x:v>2</x:v>
      </x:c>
      <x:c r="G28" s="54" t="str">
        <x:v>RECOVERED</x:v>
      </x:c>
      <x:c r="H28" s="54" t="str">
        <x:v>QAR-0001 &gt; QAR-0002 &gt; OFT-0001 &gt; ASM-0005</x:v>
      </x:c>
      <x:c r="I28"/>
    </x:row>
    <x:row r="29">
      <x:c r="A29" s="63" t="n">
        <x:v>2</x:v>
      </x:c>
      <x:c r="B29" s="63" t="str">
        <x:v>QAR-0002</x:v>
      </x:c>
      <x:c r="C29" s="63" t="str">
        <x:v>QAR-0018</x:v>
      </x:c>
      <x:c r="D29" s="63" t="str">
        <x:v>Rudder and Steering Assembly</x:v>
      </x:c>
      <x:c r="E29" s="63" t="n">
        <x:v>1</x:v>
      </x:c>
      <x:c r="F29" s="63" t="n">
        <x:v>1</x:v>
      </x:c>
      <x:c r="G29" s="54" t="str">
        <x:v>RECONSTRUCTED</x:v>
      </x:c>
      <x:c r="H29" s="54" t="str">
        <x:v>QAR-0001 &gt; QAR-0002 &gt; QAR-0018</x:v>
      </x:c>
      <x:c r="I29"/>
    </x:row>
    <x:row r="30">
      <x:c r="A30" s="63" t="n">
        <x:v>3</x:v>
      </x:c>
      <x:c r="B30" s="63" t="str">
        <x:v>QAR-0018</x:v>
      </x:c>
      <x:c r="C30" s="63" t="str">
        <x:v>QAR-0023</x:v>
      </x:c>
      <x:c r="D30" s="63" t="str">
        <x:v>Rudder Blade and Stock</x:v>
      </x:c>
      <x:c r="E30" s="63" t="n">
        <x:v>1</x:v>
      </x:c>
      <x:c r="F30" s="63" t="n">
        <x:v>1</x:v>
      </x:c>
      <x:c r="G30" s="54" t="str">
        <x:v>RECONSTRUCTED</x:v>
      </x:c>
      <x:c r="H30" s="54" t="str">
        <x:v>QAR-0001 &gt; QAR-0002 &gt; QAR-0018 &gt; QAR-0023</x:v>
      </x:c>
      <x:c r="I30"/>
    </x:row>
    <x:row r="31">
      <x:c r="A31" s="63" t="n">
        <x:v>3</x:v>
      </x:c>
      <x:c r="B31" s="63" t="str">
        <x:v>QAR-0018</x:v>
      </x:c>
      <x:c r="C31" s="63" t="str">
        <x:v>QAR-0024</x:v>
      </x:c>
      <x:c r="D31" s="63" t="str">
        <x:v>Tiller Assembly</x:v>
      </x:c>
      <x:c r="E31" s="63" t="n">
        <x:v>1</x:v>
      </x:c>
      <x:c r="F31" s="63" t="n">
        <x:v>1</x:v>
      </x:c>
      <x:c r="G31" s="54" t="str">
        <x:v>RECONSTRUCTED</x:v>
      </x:c>
      <x:c r="H31" s="54" t="str">
        <x:v>QAR-0001 &gt; QAR-0002 &gt; QAR-0018 &gt; QAR-0024</x:v>
      </x:c>
      <x:c r="I31"/>
    </x:row>
    <x:row r="32">
      <x:c r="A32" s="63" t="n">
        <x:v>3</x:v>
      </x:c>
      <x:c r="B32" s="63" t="str">
        <x:v>QAR-0018</x:v>
      </x:c>
      <x:c r="C32" s="63" t="str">
        <x:v>PRT-0010</x:v>
      </x:c>
      <x:c r="D32" s="63" t="str">
        <x:v>Iron Rudder Pintle</x:v>
      </x:c>
      <x:c r="E32" s="63" t="n">
        <x:v>4</x:v>
      </x:c>
      <x:c r="F32" s="63" t="n">
        <x:v>4</x:v>
      </x:c>
      <x:c r="G32" s="54" t="str">
        <x:v>RECOVERED</x:v>
      </x:c>
      <x:c r="H32" s="54" t="str">
        <x:v>QAR-0001 &gt; QAR-0002 &gt; QAR-0018 &gt; PRT-0010</x:v>
      </x:c>
      <x:c r="I32"/>
    </x:row>
    <x:row r="33">
      <x:c r="A33" s="63" t="n">
        <x:v>3</x:v>
      </x:c>
      <x:c r="B33" s="63" t="str">
        <x:v>QAR-0018</x:v>
      </x:c>
      <x:c r="C33" s="63" t="str">
        <x:v>PRT-0011</x:v>
      </x:c>
      <x:c r="D33" s="63" t="str">
        <x:v>Iron Rudder Gudgeon</x:v>
      </x:c>
      <x:c r="E33" s="63" t="n">
        <x:v>4</x:v>
      </x:c>
      <x:c r="F33" s="63" t="n">
        <x:v>4</x:v>
      </x:c>
      <x:c r="G33" s="54" t="str">
        <x:v>RECONSTRUCTED</x:v>
      </x:c>
      <x:c r="H33" s="54" t="str">
        <x:v>QAR-0001 &gt; QAR-0002 &gt; QAR-0018 &gt; PRT-0011</x:v>
      </x:c>
      <x:c r="I33"/>
    </x:row>
    <x:row r="34">
      <x:c r="A34" s="63" t="n">
        <x:v>3</x:v>
      </x:c>
      <x:c r="B34" s="63" t="str">
        <x:v>QAR-0018</x:v>
      </x:c>
      <x:c r="C34" s="63" t="str">
        <x:v>PRT-0012</x:v>
      </x:c>
      <x:c r="D34" s="63" t="str">
        <x:v>Tiller Relieving Rope, 30 ft</x:v>
      </x:c>
      <x:c r="E34" s="63" t="n">
        <x:v>2</x:v>
      </x:c>
      <x:c r="F34" s="63" t="n">
        <x:v>2</x:v>
      </x:c>
      <x:c r="G34" s="54" t="str">
        <x:v>RECONSTRUCTED</x:v>
      </x:c>
      <x:c r="H34" s="54" t="str">
        <x:v>QAR-0001 &gt; QAR-0002 &gt; QAR-0018 &gt; PRT-0012</x:v>
      </x:c>
      <x:c r="I34"/>
    </x:row>
    <x:row r="35">
      <x:c r="A35" s="63" t="n">
        <x:v>2</x:v>
      </x:c>
      <x:c r="B35" s="63" t="str">
        <x:v>QAR-0002</x:v>
      </x:c>
      <x:c r="C35" s="63" t="str">
        <x:v>OFT-0002</x:v>
      </x:c>
      <x:c r="D35" s="63" t="str">
        <x:v>Bilge, Pump and Drainage Outfit</x:v>
      </x:c>
      <x:c r="E35" s="63" t="n">
        <x:v>1</x:v>
      </x:c>
      <x:c r="F35" s="63" t="n">
        <x:v>1</x:v>
      </x:c>
      <x:c r="G35" s="54" t="str">
        <x:v>RECONSTRUCTED</x:v>
      </x:c>
      <x:c r="H35" s="54" t="str">
        <x:v>QAR-0001 &gt; QAR-0002 &gt; OFT-0002</x:v>
      </x:c>
      <x:c r="I35"/>
    </x:row>
    <x:row r="36">
      <x:c r="A36" s="63" t="n">
        <x:v>3</x:v>
      </x:c>
      <x:c r="B36" s="63" t="str">
        <x:v>OFT-0002</x:v>
      </x:c>
      <x:c r="C36" s="63" t="str">
        <x:v>ASM-0006</x:v>
      </x:c>
      <x:c r="D36" s="63" t="str">
        <x:v>Hand Bilge Pump Assembly</x:v>
      </x:c>
      <x:c r="E36" s="63" t="n">
        <x:v>2</x:v>
      </x:c>
      <x:c r="F36" s="63" t="n">
        <x:v>2</x:v>
      </x:c>
      <x:c r="G36" s="54" t="str">
        <x:v>RECONSTRUCTED</x:v>
      </x:c>
      <x:c r="H36" s="54" t="str">
        <x:v>QAR-0001 &gt; QAR-0002 &gt; OFT-0002 &gt; ASM-0006</x:v>
      </x:c>
      <x:c r="I36"/>
    </x:row>
    <x:row r="37">
      <x:c r="A37" s="63" t="n">
        <x:v>4</x:v>
      </x:c>
      <x:c r="B37" s="63" t="str">
        <x:v>ASM-0006</x:v>
      </x:c>
      <x:c r="C37" s="63" t="str">
        <x:v>PRT-0014</x:v>
      </x:c>
      <x:c r="D37" s="63" t="str">
        <x:v>Pump Brake Handle</x:v>
      </x:c>
      <x:c r="E37" s="63" t="n">
        <x:v>1</x:v>
      </x:c>
      <x:c r="F37" s="63" t="n">
        <x:v>2</x:v>
      </x:c>
      <x:c r="G37" s="54" t="str">
        <x:v>RECONSTRUCTED</x:v>
      </x:c>
      <x:c r="H37" s="54" t="str">
        <x:v>QAR-0001 &gt; QAR-0002 &gt; OFT-0002 &gt; ASM-0006 &gt; PRT-0014</x:v>
      </x:c>
      <x:c r="I37"/>
    </x:row>
    <x:row r="38">
      <x:c r="A38" s="63" t="n">
        <x:v>4</x:v>
      </x:c>
      <x:c r="B38" s="63" t="str">
        <x:v>ASM-0006</x:v>
      </x:c>
      <x:c r="C38" s="63" t="str">
        <x:v>KIT-0003</x:v>
      </x:c>
      <x:c r="D38" s="63" t="str">
        <x:v>Pump Leather Service Set</x:v>
      </x:c>
      <x:c r="E38" s="63" t="n">
        <x:v>1</x:v>
      </x:c>
      <x:c r="F38" s="63" t="n">
        <x:v>2</x:v>
      </x:c>
      <x:c r="G38" s="54" t="str">
        <x:v>RECONSTRUCTED</x:v>
      </x:c>
      <x:c r="H38" s="54" t="str">
        <x:v>QAR-0001 &gt; QAR-0002 &gt; OFT-0002 &gt; ASM-0006 &gt; KIT-0003</x:v>
      </x:c>
      <x:c r="I38"/>
    </x:row>
    <x:row r="39">
      <x:c r="A39" s="63" t="n">
        <x:v>3</x:v>
      </x:c>
      <x:c r="B39" s="63" t="str">
        <x:v>OFT-0002</x:v>
      </x:c>
      <x:c r="C39" s="63" t="str">
        <x:v>PRT-0013</x:v>
      </x:c>
      <x:c r="D39" s="63" t="str">
        <x:v>Bilge Strainer</x:v>
      </x:c>
      <x:c r="E39" s="63" t="n">
        <x:v>2</x:v>
      </x:c>
      <x:c r="F39" s="63" t="n">
        <x:v>2</x:v>
      </x:c>
      <x:c r="G39" s="54" t="str">
        <x:v>RECOVERED</x:v>
      </x:c>
      <x:c r="H39" s="54" t="str">
        <x:v>QAR-0001 &gt; QAR-0002 &gt; OFT-0002 &gt; PRT-0013</x:v>
      </x:c>
      <x:c r="I39"/>
    </x:row>
    <x:row r="40">
      <x:c r="A40" s="63" t="n">
        <x:v>3</x:v>
      </x:c>
      <x:c r="B40" s="63" t="str">
        <x:v>OFT-0002</x:v>
      </x:c>
      <x:c r="C40" s="63" t="str">
        <x:v>ASM-0007</x:v>
      </x:c>
      <x:c r="D40" s="63" t="str">
        <x:v>Bilge Bucket with Rope</x:v>
      </x:c>
      <x:c r="E40" s="63" t="n">
        <x:v>12</x:v>
      </x:c>
      <x:c r="F40" s="63" t="n">
        <x:v>12</x:v>
      </x:c>
      <x:c r="G40" s="54" t="str">
        <x:v>RECONSTRUCTED</x:v>
      </x:c>
      <x:c r="H40" s="54" t="str">
        <x:v>QAR-0001 &gt; QAR-0002 &gt; OFT-0002 &gt; ASM-0007</x:v>
      </x:c>
      <x:c r="I40"/>
    </x:row>
    <x:row r="41">
      <x:c r="A41" s="63" t="n">
        <x:v>2</x:v>
      </x:c>
      <x:c r="B41" s="63" t="str">
        <x:v>QAR-0002</x:v>
      </x:c>
      <x:c r="C41" s="63" t="str">
        <x:v>OFT-0003</x:v>
      </x:c>
      <x:c r="D41" s="63" t="str">
        <x:v>Ballast Distribution Outfit</x:v>
      </x:c>
      <x:c r="E41" s="63" t="n">
        <x:v>1</x:v>
      </x:c>
      <x:c r="F41" s="63" t="n">
        <x:v>1</x:v>
      </x:c>
      <x:c r="G41" s="54" t="str">
        <x:v>RECONSTRUCTED</x:v>
      </x:c>
      <x:c r="H41" s="54" t="str">
        <x:v>QAR-0001 &gt; QAR-0002 &gt; OFT-0003</x:v>
      </x:c>
      <x:c r="I41"/>
    </x:row>
    <x:row r="42">
      <x:c r="A42" s="63" t="n">
        <x:v>3</x:v>
      </x:c>
      <x:c r="B42" s="63" t="str">
        <x:v>OFT-0003</x:v>
      </x:c>
      <x:c r="C42" s="63" t="str">
        <x:v>MAT-0001</x:v>
      </x:c>
      <x:c r="D42" s="63" t="str">
        <x:v>Sorted Stone Ballast, 100 lb Lot</x:v>
      </x:c>
      <x:c r="E42" s="63" t="n">
        <x:v>500</x:v>
      </x:c>
      <x:c r="F42" s="63" t="n">
        <x:v>500</x:v>
      </x:c>
      <x:c r="G42" s="54" t="str">
        <x:v>RECOVERED</x:v>
      </x:c>
      <x:c r="H42" s="54" t="str">
        <x:v>QAR-0001 &gt; QAR-0002 &gt; OFT-0003 &gt; MAT-0001</x:v>
      </x:c>
      <x:c r="I42"/>
    </x:row>
    <x:row r="43">
      <x:c r="A43" s="63" t="n">
        <x:v>3</x:v>
      </x:c>
      <x:c r="B43" s="63" t="str">
        <x:v>OFT-0003</x:v>
      </x:c>
      <x:c r="C43" s="63" t="str">
        <x:v>PRT-0015</x:v>
      </x:c>
      <x:c r="D43" s="63" t="str">
        <x:v>Iron Ballast Pig, 50 lb</x:v>
      </x:c>
      <x:c r="E43" s="63" t="n">
        <x:v>80</x:v>
      </x:c>
      <x:c r="F43" s="63" t="n">
        <x:v>80</x:v>
      </x:c>
      <x:c r="G43" s="54" t="str">
        <x:v>RECONSTRUCTED</x:v>
      </x:c>
      <x:c r="H43" s="54" t="str">
        <x:v>QAR-0001 &gt; QAR-0002 &gt; OFT-0003 &gt; PRT-0015</x:v>
      </x:c>
      <x:c r="I43"/>
    </x:row>
    <x:row r="44">
      <x:c r="A44" s="63" t="n">
        <x:v>3</x:v>
      </x:c>
      <x:c r="B44" s="63" t="str">
        <x:v>OFT-0003</x:v>
      </x:c>
      <x:c r="C44" s="63" t="str">
        <x:v>PRT-0016</x:v>
      </x:c>
      <x:c r="D44" s="63" t="str">
        <x:v>Ballast Bedding Mat</x:v>
      </x:c>
      <x:c r="E44" s="63" t="n">
        <x:v>40</x:v>
      </x:c>
      <x:c r="F44" s="63" t="n">
        <x:v>40</x:v>
      </x:c>
      <x:c r="G44" s="54" t="str">
        <x:v>RECONSTRUCTED</x:v>
      </x:c>
      <x:c r="H44" s="54" t="str">
        <x:v>QAR-0001 &gt; QAR-0002 &gt; OFT-0003 &gt; PRT-0016</x:v>
      </x:c>
      <x:c r="I44"/>
    </x:row>
    <x:row r="45">
      <x:c r="A45" s="63" t="n">
        <x:v>1</x:v>
      </x:c>
      <x:c r="B45" s="63" t="str">
        <x:v>QAR-0001</x:v>
      </x:c>
      <x:c r="C45" s="63" t="str">
        <x:v>QAR-0003</x:v>
      </x:c>
      <x:c r="D45" s="63" t="str">
        <x:v>Complete Armament Outfit</x:v>
      </x:c>
      <x:c r="E45" s="63" t="n">
        <x:v>1</x:v>
      </x:c>
      <x:c r="F45" s="63" t="n">
        <x:v>1</x:v>
      </x:c>
      <x:c r="G45" s="54" t="str">
        <x:v>RECONSTRUCTED</x:v>
      </x:c>
      <x:c r="H45" s="54" t="str">
        <x:v>QAR-0001 &gt; QAR-0003</x:v>
      </x:c>
      <x:c r="I45"/>
    </x:row>
    <x:row r="46">
      <x:c r="A46" s="63" t="n">
        <x:v>2</x:v>
      </x:c>
      <x:c r="B46" s="63" t="str">
        <x:v>QAR-0003</x:v>
      </x:c>
      <x:c r="C46" s="63" t="str">
        <x:v>OFT-0004</x:v>
      </x:c>
      <x:c r="D46" s="63" t="str">
        <x:v>Six-Pounder Main Battery</x:v>
      </x:c>
      <x:c r="E46" s="63" t="n">
        <x:v>1</x:v>
      </x:c>
      <x:c r="F46" s="63" t="n">
        <x:v>1</x:v>
      </x:c>
      <x:c r="G46" s="54" t="str">
        <x:v>RECONSTRUCTED</x:v>
      </x:c>
      <x:c r="H46" s="54" t="str">
        <x:v>QAR-0001 &gt; QAR-0003 &gt; OFT-0004</x:v>
      </x:c>
      <x:c r="I46"/>
    </x:row>
    <x:row r="47">
      <x:c r="A47" s="63" t="n">
        <x:v>3</x:v>
      </x:c>
      <x:c r="B47" s="63" t="str">
        <x:v>OFT-0004</x:v>
      </x:c>
      <x:c r="C47" s="63" t="str">
        <x:v>KIT-0005</x:v>
      </x:c>
      <x:c r="D47" s="63" t="str">
        <x:v>Complete Six-Pounder Cannon Station</x:v>
      </x:c>
      <x:c r="E47" s="63" t="n">
        <x:v>16</x:v>
      </x:c>
      <x:c r="F47" s="63" t="n">
        <x:v>16</x:v>
      </x:c>
      <x:c r="G47" s="54" t="str">
        <x:v>RECONSTRUCTED</x:v>
      </x:c>
      <x:c r="H47" s="54" t="str">
        <x:v>QAR-0001 &gt; QAR-0003 &gt; OFT-0004 &gt; KIT-0005</x:v>
      </x:c>
      <x:c r="I47"/>
    </x:row>
    <x:row r="48">
      <x:c r="A48" s="63" t="n">
        <x:v>4</x:v>
      </x:c>
      <x:c r="B48" s="63" t="str">
        <x:v>KIT-0005</x:v>
      </x:c>
      <x:c r="C48" s="63" t="str">
        <x:v>PRT-0017</x:v>
      </x:c>
      <x:c r="D48" s="63" t="str">
        <x:v>Iron Six-Pounder Cannon Barrel</x:v>
      </x:c>
      <x:c r="E48" s="63" t="n">
        <x:v>1</x:v>
      </x:c>
      <x:c r="F48" s="63" t="n">
        <x:v>16</x:v>
      </x:c>
      <x:c r="G48" s="54" t="str">
        <x:v>RECOVERED</x:v>
      </x:c>
      <x:c r="H48" s="54" t="str">
        <x:v>QAR-0001 &gt; QAR-0003 &gt; OFT-0004 &gt; KIT-0005 &gt; PRT-0017</x:v>
      </x:c>
      <x:c r="I48"/>
    </x:row>
    <x:row r="49">
      <x:c r="A49" s="63" t="n">
        <x:v>4</x:v>
      </x:c>
      <x:c r="B49" s="63" t="str">
        <x:v>KIT-0005</x:v>
      </x:c>
      <x:c r="C49" s="63" t="str">
        <x:v>ASM-0008</x:v>
      </x:c>
      <x:c r="D49" s="63" t="str">
        <x:v>Six-Pounder Gun Carriage</x:v>
      </x:c>
      <x:c r="E49" s="63" t="n">
        <x:v>1</x:v>
      </x:c>
      <x:c r="F49" s="63" t="n">
        <x:v>16</x:v>
      </x:c>
      <x:c r="G49" s="54" t="str">
        <x:v>RECONSTRUCTED</x:v>
      </x:c>
      <x:c r="H49" s="54" t="str">
        <x:v>QAR-0001 &gt; QAR-0003 &gt; OFT-0004 &gt; KIT-0005 &gt; ASM-0008</x:v>
      </x:c>
      <x:c r="I49"/>
    </x:row>
    <x:row r="50">
      <x:c r="A50" s="63" t="n">
        <x:v>5</x:v>
      </x:c>
      <x:c r="B50" s="63" t="str">
        <x:v>ASM-0008</x:v>
      </x:c>
      <x:c r="C50" s="63" t="str">
        <x:v>PRT-0020</x:v>
      </x:c>
      <x:c r="D50" s="63" t="str">
        <x:v>Six-Pounder Carriage Cheek</x:v>
      </x:c>
      <x:c r="E50" s="63" t="n">
        <x:v>2</x:v>
      </x:c>
      <x:c r="F50" s="63" t="n">
        <x:v>32</x:v>
      </x:c>
      <x:c r="G50" s="54" t="str">
        <x:v>RECONSTRUCTED</x:v>
      </x:c>
      <x:c r="H50" s="54" t="str">
        <x:v>QAR-0001 &gt; QAR-0003 &gt; OFT-0004 &gt; KIT-0005 &gt; ASM-0008 &gt; PRT-0020</x:v>
      </x:c>
      <x:c r="I50"/>
    </x:row>
    <x:row r="51">
      <x:c r="A51" s="63" t="n">
        <x:v>5</x:v>
      </x:c>
      <x:c r="B51" s="63" t="str">
        <x:v>ASM-0008</x:v>
      </x:c>
      <x:c r="C51" s="63" t="str">
        <x:v>PRT-0022</x:v>
      </x:c>
      <x:c r="D51" s="63" t="str">
        <x:v>Six-Pounder Carriage Bed</x:v>
      </x:c>
      <x:c r="E51" s="63" t="n">
        <x:v>1</x:v>
      </x:c>
      <x:c r="F51" s="63" t="n">
        <x:v>16</x:v>
      </x:c>
      <x:c r="G51" s="54" t="str">
        <x:v>RECONSTRUCTED</x:v>
      </x:c>
      <x:c r="H51" s="54" t="str">
        <x:v>QAR-0001 &gt; QAR-0003 &gt; OFT-0004 &gt; KIT-0005 &gt; ASM-0008 &gt; PRT-0022</x:v>
      </x:c>
      <x:c r="I51"/>
    </x:row>
    <x:row r="52">
      <x:c r="A52" s="63" t="n">
        <x:v>5</x:v>
      </x:c>
      <x:c r="B52" s="63" t="str">
        <x:v>ASM-0008</x:v>
      </x:c>
      <x:c r="C52" s="63" t="str">
        <x:v>PRT-0024</x:v>
      </x:c>
      <x:c r="D52" s="63" t="str">
        <x:v>Six-Pounder Carriage Axle</x:v>
      </x:c>
      <x:c r="E52" s="63" t="n">
        <x:v>2</x:v>
      </x:c>
      <x:c r="F52" s="63" t="n">
        <x:v>32</x:v>
      </x:c>
      <x:c r="G52" s="54" t="str">
        <x:v>RECONSTRUCTED</x:v>
      </x:c>
      <x:c r="H52" s="54" t="str">
        <x:v>QAR-0001 &gt; QAR-0003 &gt; OFT-0004 &gt; KIT-0005 &gt; ASM-0008 &gt; PRT-0024</x:v>
      </x:c>
      <x:c r="I52"/>
    </x:row>
    <x:row r="53">
      <x:c r="A53" s="63" t="n">
        <x:v>5</x:v>
      </x:c>
      <x:c r="B53" s="63" t="str">
        <x:v>ASM-0008</x:v>
      </x:c>
      <x:c r="C53" s="63" t="str">
        <x:v>PRT-0026</x:v>
      </x:c>
      <x:c r="D53" s="63" t="str">
        <x:v>Six-Pounder Carriage Truck Wheel</x:v>
      </x:c>
      <x:c r="E53" s="63" t="n">
        <x:v>4</x:v>
      </x:c>
      <x:c r="F53" s="63" t="n">
        <x:v>64</x:v>
      </x:c>
      <x:c r="G53" s="54" t="str">
        <x:v>RECONSTRUCTED</x:v>
      </x:c>
      <x:c r="H53" s="54" t="str">
        <x:v>QAR-0001 &gt; QAR-0003 &gt; OFT-0004 &gt; KIT-0005 &gt; ASM-0008 &gt; PRT-0026</x:v>
      </x:c>
      <x:c r="I53"/>
    </x:row>
    <x:row r="54">
      <x:c r="A54" s="63" t="n">
        <x:v>5</x:v>
      </x:c>
      <x:c r="B54" s="63" t="str">
        <x:v>ASM-0008</x:v>
      </x:c>
      <x:c r="C54" s="63" t="str">
        <x:v>PRT-0028</x:v>
      </x:c>
      <x:c r="D54" s="63" t="str">
        <x:v>Gun Carriage Transom</x:v>
      </x:c>
      <x:c r="E54" s="63" t="n">
        <x:v>2</x:v>
      </x:c>
      <x:c r="F54" s="63" t="n">
        <x:v>32</x:v>
      </x:c>
      <x:c r="G54" s="54" t="str">
        <x:v>RECONSTRUCTED</x:v>
      </x:c>
      <x:c r="H54" s="54" t="str">
        <x:v>QAR-0001 &gt; QAR-0003 &gt; OFT-0004 &gt; KIT-0005 &gt; ASM-0008 &gt; PRT-0028</x:v>
      </x:c>
      <x:c r="I54"/>
    </x:row>
    <x:row r="55">
      <x:c r="A55" s="63" t="n">
        <x:v>5</x:v>
      </x:c>
      <x:c r="B55" s="63" t="str">
        <x:v>ASM-0008</x:v>
      </x:c>
      <x:c r="C55" s="63" t="str">
        <x:v>PRT-0029</x:v>
      </x:c>
      <x:c r="D55" s="63" t="str">
        <x:v>Gun Carriage Linchpin</x:v>
      </x:c>
      <x:c r="E55" s="63" t="n">
        <x:v>4</x:v>
      </x:c>
      <x:c r="F55" s="63" t="n">
        <x:v>64</x:v>
      </x:c>
      <x:c r="G55" s="54" t="str">
        <x:v>RECONSTRUCTED</x:v>
      </x:c>
      <x:c r="H55" s="54" t="str">
        <x:v>QAR-0001 &gt; QAR-0003 &gt; OFT-0004 &gt; KIT-0005 &gt; ASM-0008 &gt; PRT-0029</x:v>
      </x:c>
      <x:c r="I55"/>
    </x:row>
    <x:row r="56">
      <x:c r="A56" s="63" t="n">
        <x:v>5</x:v>
      </x:c>
      <x:c r="B56" s="63" t="str">
        <x:v>ASM-0008</x:v>
      </x:c>
      <x:c r="C56" s="63" t="str">
        <x:v>ASM-0011</x:v>
      </x:c>
      <x:c r="D56" s="63" t="str">
        <x:v>Gun Carriage Capsquare and Key</x:v>
      </x:c>
      <x:c r="E56" s="63" t="n">
        <x:v>2</x:v>
      </x:c>
      <x:c r="F56" s="63" t="n">
        <x:v>32</x:v>
      </x:c>
      <x:c r="G56" s="54" t="str">
        <x:v>RECONSTRUCTED</x:v>
      </x:c>
      <x:c r="H56" s="54" t="str">
        <x:v>QAR-0001 &gt; QAR-0003 &gt; OFT-0004 &gt; KIT-0005 &gt; ASM-0008 &gt; ASM-0011</x:v>
      </x:c>
      <x:c r="I56"/>
    </x:row>
    <x:row r="57">
      <x:c r="A57" s="63" t="n">
        <x:v>5</x:v>
      </x:c>
      <x:c r="B57" s="63" t="str">
        <x:v>ASM-0008</x:v>
      </x:c>
      <x:c r="C57" s="63" t="str">
        <x:v>PRT-0030</x:v>
      </x:c>
      <x:c r="D57" s="63" t="str">
        <x:v>Gun Elevation Quoin</x:v>
      </x:c>
      <x:c r="E57" s="63" t="n">
        <x:v>1</x:v>
      </x:c>
      <x:c r="F57" s="63" t="n">
        <x:v>16</x:v>
      </x:c>
      <x:c r="G57" s="54" t="str">
        <x:v>RECONSTRUCTED</x:v>
      </x:c>
      <x:c r="H57" s="54" t="str">
        <x:v>QAR-0001 &gt; QAR-0003 &gt; OFT-0004 &gt; KIT-0005 &gt; ASM-0008 &gt; PRT-0030</x:v>
      </x:c>
      <x:c r="I57"/>
    </x:row>
    <x:row r="58">
      <x:c r="A58" s="63" t="n">
        <x:v>4</x:v>
      </x:c>
      <x:c r="B58" s="63" t="str">
        <x:v>KIT-0005</x:v>
      </x:c>
      <x:c r="C58" s="63" t="str">
        <x:v>KIT-0008</x:v>
      </x:c>
      <x:c r="D58" s="63" t="str">
        <x:v>Cannon Service Tool Kit</x:v>
      </x:c>
      <x:c r="E58" s="63" t="n">
        <x:v>1</x:v>
      </x:c>
      <x:c r="F58" s="63" t="n">
        <x:v>16</x:v>
      </x:c>
      <x:c r="G58" s="54" t="str">
        <x:v>RECOVERED</x:v>
      </x:c>
      <x:c r="H58" s="54" t="str">
        <x:v>QAR-0001 &gt; QAR-0003 &gt; OFT-0004 &gt; KIT-0005 &gt; KIT-0008</x:v>
      </x:c>
      <x:c r="I58"/>
    </x:row>
    <x:row r="59">
      <x:c r="A59" s="63" t="n">
        <x:v>5</x:v>
      </x:c>
      <x:c r="B59" s="63" t="str">
        <x:v>KIT-0008</x:v>
      </x:c>
      <x:c r="C59" s="63" t="str">
        <x:v>PRT-0031</x:v>
      </x:c>
      <x:c r="D59" s="63" t="str">
        <x:v>Cannon Rammer</x:v>
      </x:c>
      <x:c r="E59" s="63" t="n">
        <x:v>1</x:v>
      </x:c>
      <x:c r="F59" s="63" t="n">
        <x:v>16</x:v>
      </x:c>
      <x:c r="G59" s="54" t="str">
        <x:v>RECONSTRUCTED</x:v>
      </x:c>
      <x:c r="H59" s="54" t="str">
        <x:v>QAR-0001 &gt; QAR-0003 &gt; OFT-0004 &gt; KIT-0005 &gt; KIT-0008 &gt; PRT-0031</x:v>
      </x:c>
      <x:c r="I59"/>
    </x:row>
    <x:row r="60">
      <x:c r="A60" s="63" t="n">
        <x:v>5</x:v>
      </x:c>
      <x:c r="B60" s="63" t="str">
        <x:v>KIT-0008</x:v>
      </x:c>
      <x:c r="C60" s="63" t="str">
        <x:v>PRT-0032</x:v>
      </x:c>
      <x:c r="D60" s="63" t="str">
        <x:v>Cannon Sponge</x:v>
      </x:c>
      <x:c r="E60" s="63" t="n">
        <x:v>1</x:v>
      </x:c>
      <x:c r="F60" s="63" t="n">
        <x:v>16</x:v>
      </x:c>
      <x:c r="G60" s="54" t="str">
        <x:v>RECONSTRUCTED</x:v>
      </x:c>
      <x:c r="H60" s="54" t="str">
        <x:v>QAR-0001 &gt; QAR-0003 &gt; OFT-0004 &gt; KIT-0005 &gt; KIT-0008 &gt; PRT-0032</x:v>
      </x:c>
      <x:c r="I60"/>
    </x:row>
    <x:row r="61">
      <x:c r="A61" s="63" t="n">
        <x:v>5</x:v>
      </x:c>
      <x:c r="B61" s="63" t="str">
        <x:v>KIT-0008</x:v>
      </x:c>
      <x:c r="C61" s="63" t="str">
        <x:v>PRT-0033</x:v>
      </x:c>
      <x:c r="D61" s="63" t="str">
        <x:v>Cannon Worm</x:v>
      </x:c>
      <x:c r="E61" s="63" t="n">
        <x:v>1</x:v>
      </x:c>
      <x:c r="F61" s="63" t="n">
        <x:v>16</x:v>
      </x:c>
      <x:c r="G61" s="54" t="str">
        <x:v>RECONSTRUCTED</x:v>
      </x:c>
      <x:c r="H61" s="54" t="str">
        <x:v>QAR-0001 &gt; QAR-0003 &gt; OFT-0004 &gt; KIT-0005 &gt; KIT-0008 &gt; PRT-0033</x:v>
      </x:c>
      <x:c r="I61"/>
    </x:row>
    <x:row r="62">
      <x:c r="A62" s="63" t="n">
        <x:v>5</x:v>
      </x:c>
      <x:c r="B62" s="63" t="str">
        <x:v>KIT-0008</x:v>
      </x:c>
      <x:c r="C62" s="63" t="str">
        <x:v>PRT-0034</x:v>
      </x:c>
      <x:c r="D62" s="63" t="str">
        <x:v>Powder Ladle</x:v>
      </x:c>
      <x:c r="E62" s="63" t="n">
        <x:v>1</x:v>
      </x:c>
      <x:c r="F62" s="63" t="n">
        <x:v>16</x:v>
      </x:c>
      <x:c r="G62" s="54" t="str">
        <x:v>RECONSTRUCTED</x:v>
      </x:c>
      <x:c r="H62" s="54" t="str">
        <x:v>QAR-0001 &gt; QAR-0003 &gt; OFT-0004 &gt; KIT-0005 &gt; KIT-0008 &gt; PRT-0034</x:v>
      </x:c>
      <x:c r="I62"/>
    </x:row>
    <x:row r="63">
      <x:c r="A63" s="63" t="n">
        <x:v>5</x:v>
      </x:c>
      <x:c r="B63" s="63" t="str">
        <x:v>KIT-0008</x:v>
      </x:c>
      <x:c r="C63" s="63" t="str">
        <x:v>PRT-0035</x:v>
      </x:c>
      <x:c r="D63" s="63" t="str">
        <x:v>Slow-Match Linstock</x:v>
      </x:c>
      <x:c r="E63" s="63" t="n">
        <x:v>1</x:v>
      </x:c>
      <x:c r="F63" s="63" t="n">
        <x:v>16</x:v>
      </x:c>
      <x:c r="G63" s="54" t="str">
        <x:v>RECONSTRUCTED</x:v>
      </x:c>
      <x:c r="H63" s="54" t="str">
        <x:v>QAR-0001 &gt; QAR-0003 &gt; OFT-0004 &gt; KIT-0005 &gt; KIT-0008 &gt; PRT-0035</x:v>
      </x:c>
      <x:c r="I63"/>
    </x:row>
    <x:row r="64">
      <x:c r="A64" s="63" t="n">
        <x:v>5</x:v>
      </x:c>
      <x:c r="B64" s="63" t="str">
        <x:v>KIT-0008</x:v>
      </x:c>
      <x:c r="C64" s="63" t="str">
        <x:v>PRT-0036</x:v>
      </x:c>
      <x:c r="D64" s="63" t="str">
        <x:v>Gunner's Handspike</x:v>
      </x:c>
      <x:c r="E64" s="63" t="n">
        <x:v>2</x:v>
      </x:c>
      <x:c r="F64" s="63" t="n">
        <x:v>32</x:v>
      </x:c>
      <x:c r="G64" s="54" t="str">
        <x:v>RECOVERED</x:v>
      </x:c>
      <x:c r="H64" s="54" t="str">
        <x:v>QAR-0001 &gt; QAR-0003 &gt; OFT-0004 &gt; KIT-0005 &gt; KIT-0008 &gt; PRT-0036</x:v>
      </x:c>
      <x:c r="I64"/>
    </x:row>
    <x:row r="65">
      <x:c r="A65" s="63" t="n">
        <x:v>5</x:v>
      </x:c>
      <x:c r="B65" s="63" t="str">
        <x:v>KIT-0008</x:v>
      </x:c>
      <x:c r="C65" s="63" t="str">
        <x:v>KIT-0015</x:v>
      </x:c>
      <x:c r="D65" s="63" t="str">
        <x:v>Vent Pick and Priming Wire Set</x:v>
      </x:c>
      <x:c r="E65" s="63" t="n">
        <x:v>1</x:v>
      </x:c>
      <x:c r="F65" s="63" t="n">
        <x:v>16</x:v>
      </x:c>
      <x:c r="G65" s="54" t="str">
        <x:v>RECONSTRUCTED</x:v>
      </x:c>
      <x:c r="H65" s="54" t="str">
        <x:v>QAR-0001 &gt; QAR-0003 &gt; OFT-0004 &gt; KIT-0005 &gt; KIT-0008 &gt; KIT-0015</x:v>
      </x:c>
      <x:c r="I65"/>
    </x:row>
    <x:row r="66">
      <x:c r="A66" s="63" t="n">
        <x:v>5</x:v>
      </x:c>
      <x:c r="B66" s="63" t="str">
        <x:v>KIT-0008</x:v>
      </x:c>
      <x:c r="C66" s="63" t="str">
        <x:v>PRT-0037</x:v>
      </x:c>
      <x:c r="D66" s="63" t="str">
        <x:v>Lead Touch-Hole Apron</x:v>
      </x:c>
      <x:c r="E66" s="63" t="n">
        <x:v>1</x:v>
      </x:c>
      <x:c r="F66" s="63" t="n">
        <x:v>16</x:v>
      </x:c>
      <x:c r="G66" s="54" t="str">
        <x:v>RECOVERED</x:v>
      </x:c>
      <x:c r="H66" s="54" t="str">
        <x:v>QAR-0001 &gt; QAR-0003 &gt; OFT-0004 &gt; KIT-0005 &gt; KIT-0008 &gt; PRT-0037</x:v>
      </x:c>
      <x:c r="I66"/>
    </x:row>
    <x:row r="67">
      <x:c r="A67" s="63" t="n">
        <x:v>5</x:v>
      </x:c>
      <x:c r="B67" s="63" t="str">
        <x:v>KIT-0008</x:v>
      </x:c>
      <x:c r="C67" s="63" t="str">
        <x:v>PRT-0040</x:v>
      </x:c>
      <x:c r="D67" s="63" t="str">
        <x:v>Gunner's Water Bucket</x:v>
      </x:c>
      <x:c r="E67" s="63" t="n">
        <x:v>1</x:v>
      </x:c>
      <x:c r="F67" s="63" t="n">
        <x:v>16</x:v>
      </x:c>
      <x:c r="G67" s="54" t="str">
        <x:v>RECONSTRUCTED</x:v>
      </x:c>
      <x:c r="H67" s="54" t="str">
        <x:v>QAR-0001 &gt; QAR-0003 &gt; OFT-0004 &gt; KIT-0005 &gt; KIT-0008 &gt; PRT-0040</x:v>
      </x:c>
      <x:c r="I67"/>
    </x:row>
    <x:row r="68">
      <x:c r="A68" s="63" t="n">
        <x:v>4</x:v>
      </x:c>
      <x:c r="B68" s="63" t="str">
        <x:v>KIT-0005</x:v>
      </x:c>
      <x:c r="C68" s="63" t="str">
        <x:v>KIT-0010</x:v>
      </x:c>
      <x:c r="D68" s="63" t="str">
        <x:v>Six-Pounder Breeching and Side-Tackle Set</x:v>
      </x:c>
      <x:c r="E68" s="63" t="n">
        <x:v>1</x:v>
      </x:c>
      <x:c r="F68" s="63" t="n">
        <x:v>16</x:v>
      </x:c>
      <x:c r="G68" s="54" t="str">
        <x:v>RECONSTRUCTED</x:v>
      </x:c>
      <x:c r="H68" s="54" t="str">
        <x:v>QAR-0001 &gt; QAR-0003 &gt; OFT-0004 &gt; KIT-0005 &gt; KIT-0010</x:v>
      </x:c>
      <x:c r="I68"/>
    </x:row>
    <x:row r="69">
      <x:c r="A69" s="63" t="n">
        <x:v>5</x:v>
      </x:c>
      <x:c r="B69" s="63" t="str">
        <x:v>KIT-0010</x:v>
      </x:c>
      <x:c r="C69" s="63" t="str">
        <x:v>PRT-0043</x:v>
      </x:c>
      <x:c r="D69" s="63" t="str">
        <x:v>Six-Pounder Breeching Rope, 24 ft</x:v>
      </x:c>
      <x:c r="E69" s="63" t="n">
        <x:v>1</x:v>
      </x:c>
      <x:c r="F69" s="63" t="n">
        <x:v>16</x:v>
      </x:c>
      <x:c r="G69" s="54" t="str">
        <x:v>RECONSTRUCTED</x:v>
      </x:c>
      <x:c r="H69" s="54" t="str">
        <x:v>QAR-0001 &gt; QAR-0003 &gt; OFT-0004 &gt; KIT-0005 &gt; KIT-0010 &gt; PRT-0043</x:v>
      </x:c>
      <x:c r="I69"/>
    </x:row>
    <x:row r="70">
      <x:c r="A70" s="63" t="n">
        <x:v>5</x:v>
      </x:c>
      <x:c r="B70" s="63" t="str">
        <x:v>KIT-0010</x:v>
      </x:c>
      <x:c r="C70" s="63" t="str">
        <x:v>ASM-0013</x:v>
      </x:c>
      <x:c r="D70" s="63" t="str">
        <x:v>Gun Side-Tackle Assembly</x:v>
      </x:c>
      <x:c r="E70" s="63" t="n">
        <x:v>2</x:v>
      </x:c>
      <x:c r="F70" s="63" t="n">
        <x:v>32</x:v>
      </x:c>
      <x:c r="G70" s="54" t="str">
        <x:v>RECONSTRUCTED</x:v>
      </x:c>
      <x:c r="H70" s="54" t="str">
        <x:v>QAR-0001 &gt; QAR-0003 &gt; OFT-0004 &gt; KIT-0005 &gt; KIT-0010 &gt; ASM-0013</x:v>
      </x:c>
      <x:c r="I70"/>
    </x:row>
    <x:row r="71">
      <x:c r="A71" s="63" t="n">
        <x:v>6</x:v>
      </x:c>
      <x:c r="B71" s="63" t="str">
        <x:v>ASM-0013</x:v>
      </x:c>
      <x:c r="C71" s="63" t="str">
        <x:v>PRT-0045</x:v>
      </x:c>
      <x:c r="D71" s="63" t="str">
        <x:v>Five-Inch Single Block</x:v>
      </x:c>
      <x:c r="E71" s="63" t="n">
        <x:v>1</x:v>
      </x:c>
      <x:c r="F71" s="63" t="n">
        <x:v>32</x:v>
      </x:c>
      <x:c r="G71" s="54" t="str">
        <x:v>RECONSTRUCTED</x:v>
      </x:c>
      <x:c r="H71" s="54" t="str">
        <x:v>QAR-0001 &gt; QAR-0003 &gt; OFT-0004 &gt; KIT-0005 &gt; KIT-0010 &gt; ASM-0013 &gt; PRT-0045</x:v>
      </x:c>
      <x:c r="I71"/>
    </x:row>
    <x:row r="72">
      <x:c r="A72" s="63" t="n">
        <x:v>6</x:v>
      </x:c>
      <x:c r="B72" s="63" t="str">
        <x:v>ASM-0013</x:v>
      </x:c>
      <x:c r="C72" s="63" t="str">
        <x:v>PRT-0046</x:v>
      </x:c>
      <x:c r="D72" s="63" t="str">
        <x:v>Five-Inch Double Block</x:v>
      </x:c>
      <x:c r="E72" s="63" t="n">
        <x:v>1</x:v>
      </x:c>
      <x:c r="F72" s="63" t="n">
        <x:v>32</x:v>
      </x:c>
      <x:c r="G72" s="54" t="str">
        <x:v>RECONSTRUCTED</x:v>
      </x:c>
      <x:c r="H72" s="54" t="str">
        <x:v>QAR-0001 &gt; QAR-0003 &gt; OFT-0004 &gt; KIT-0005 &gt; KIT-0010 &gt; ASM-0013 &gt; PRT-0046</x:v>
      </x:c>
      <x:c r="I72"/>
    </x:row>
    <x:row r="73">
      <x:c r="A73" s="63" t="n">
        <x:v>6</x:v>
      </x:c>
      <x:c r="B73" s="63" t="str">
        <x:v>ASM-0013</x:v>
      </x:c>
      <x:c r="C73" s="63" t="str">
        <x:v>PRT-0047</x:v>
      </x:c>
      <x:c r="D73" s="63" t="str">
        <x:v>Gun Tackle Fall, 30 ft</x:v>
      </x:c>
      <x:c r="E73" s="63" t="n">
        <x:v>1</x:v>
      </x:c>
      <x:c r="F73" s="63" t="n">
        <x:v>32</x:v>
      </x:c>
      <x:c r="G73" s="54" t="str">
        <x:v>RECONSTRUCTED</x:v>
      </x:c>
      <x:c r="H73" s="54" t="str">
        <x:v>QAR-0001 &gt; QAR-0003 &gt; OFT-0004 &gt; KIT-0005 &gt; KIT-0010 &gt; ASM-0013 &gt; PRT-0047</x:v>
      </x:c>
      <x:c r="I73"/>
    </x:row>
    <x:row r="74">
      <x:c r="A74" s="63" t="n">
        <x:v>6</x:v>
      </x:c>
      <x:c r="B74" s="63" t="str">
        <x:v>ASM-0013</x:v>
      </x:c>
      <x:c r="C74" s="63" t="str">
        <x:v>PRT-0048</x:v>
      </x:c>
      <x:c r="D74" s="63" t="str">
        <x:v>Iron Tackle Hook</x:v>
      </x:c>
      <x:c r="E74" s="63" t="n">
        <x:v>2</x:v>
      </x:c>
      <x:c r="F74" s="63" t="n">
        <x:v>64</x:v>
      </x:c>
      <x:c r="G74" s="54" t="str">
        <x:v>RECONSTRUCTED</x:v>
      </x:c>
      <x:c r="H74" s="54" t="str">
        <x:v>QAR-0001 &gt; QAR-0003 &gt; OFT-0004 &gt; KIT-0005 &gt; KIT-0010 &gt; ASM-0013 &gt; PRT-0048</x:v>
      </x:c>
      <x:c r="I74"/>
    </x:row>
    <x:row r="75">
      <x:c r="A75" s="63" t="n">
        <x:v>4</x:v>
      </x:c>
      <x:c r="B75" s="63" t="str">
        <x:v>KIT-0005</x:v>
      </x:c>
      <x:c r="C75" s="63" t="str">
        <x:v>KIT-0012</x:v>
      </x:c>
      <x:c r="D75" s="63" t="str">
        <x:v>Six-Pounder Ready-Shot Allowance</x:v>
      </x:c>
      <x:c r="E75" s="63" t="n">
        <x:v>1</x:v>
      </x:c>
      <x:c r="F75" s="63" t="n">
        <x:v>16</x:v>
      </x:c>
      <x:c r="G75" s="54" t="str">
        <x:v>RECONSTRUCTED</x:v>
      </x:c>
      <x:c r="H75" s="54" t="str">
        <x:v>QAR-0001 &gt; QAR-0003 &gt; OFT-0004 &gt; KIT-0005 &gt; KIT-0012</x:v>
      </x:c>
      <x:c r="I75"/>
    </x:row>
    <x:row r="76">
      <x:c r="A76" s="63" t="n">
        <x:v>5</x:v>
      </x:c>
      <x:c r="B76" s="63" t="str">
        <x:v>KIT-0012</x:v>
      </x:c>
      <x:c r="C76" s="63" t="str">
        <x:v>ASM-0015</x:v>
      </x:c>
      <x:c r="D76" s="63" t="str">
        <x:v>Six-Pounder Ready-Shot Rack</x:v>
      </x:c>
      <x:c r="E76" s="63" t="n">
        <x:v>1</x:v>
      </x:c>
      <x:c r="F76" s="63" t="n">
        <x:v>16</x:v>
      </x:c>
      <x:c r="G76" s="54" t="str">
        <x:v>RECONSTRUCTED</x:v>
      </x:c>
      <x:c r="H76" s="54" t="str">
        <x:v>QAR-0001 &gt; QAR-0003 &gt; OFT-0004 &gt; KIT-0005 &gt; KIT-0012 &gt; ASM-0015</x:v>
      </x:c>
      <x:c r="I76"/>
    </x:row>
    <x:row r="77">
      <x:c r="A77" s="63" t="n">
        <x:v>5</x:v>
      </x:c>
      <x:c r="B77" s="63" t="str">
        <x:v>KIT-0012</x:v>
      </x:c>
      <x:c r="C77" s="63" t="str">
        <x:v>PRT-0049</x:v>
      </x:c>
      <x:c r="D77" s="63" t="str">
        <x:v>Six-Pound Round Shot</x:v>
      </x:c>
      <x:c r="E77" s="63" t="n">
        <x:v>30</x:v>
      </x:c>
      <x:c r="F77" s="63" t="n">
        <x:v>480</x:v>
      </x:c>
      <x:c r="G77" s="54" t="str">
        <x:v>RECOVERED</x:v>
      </x:c>
      <x:c r="H77" s="54" t="str">
        <x:v>QAR-0001 &gt; QAR-0003 &gt; OFT-0004 &gt; KIT-0005 &gt; KIT-0012 &gt; PRT-0049</x:v>
      </x:c>
      <x:c r="I77"/>
    </x:row>
    <x:row r="78">
      <x:c r="A78" s="63" t="n">
        <x:v>5</x:v>
      </x:c>
      <x:c r="B78" s="63" t="str">
        <x:v>KIT-0012</x:v>
      </x:c>
      <x:c r="C78" s="63" t="str">
        <x:v>PRT-0052</x:v>
      </x:c>
      <x:c r="D78" s="63" t="str">
        <x:v>Six-Pounder Bar Shot</x:v>
      </x:c>
      <x:c r="E78" s="63" t="n">
        <x:v>4</x:v>
      </x:c>
      <x:c r="F78" s="63" t="n">
        <x:v>64</x:v>
      </x:c>
      <x:c r="G78" s="54" t="str">
        <x:v>RECOVERED</x:v>
      </x:c>
      <x:c r="H78" s="54" t="str">
        <x:v>QAR-0001 &gt; QAR-0003 &gt; OFT-0004 &gt; KIT-0005 &gt; KIT-0012 &gt; PRT-0052</x:v>
      </x:c>
      <x:c r="I78"/>
    </x:row>
    <x:row r="79">
      <x:c r="A79" s="63" t="n">
        <x:v>5</x:v>
      </x:c>
      <x:c r="B79" s="63" t="str">
        <x:v>KIT-0012</x:v>
      </x:c>
      <x:c r="C79" s="63" t="str">
        <x:v>ASM-0014</x:v>
      </x:c>
      <x:c r="D79" s="63" t="str">
        <x:v>Langrage Canister</x:v>
      </x:c>
      <x:c r="E79" s="63" t="n">
        <x:v>4</x:v>
      </x:c>
      <x:c r="F79" s="63" t="n">
        <x:v>64</x:v>
      </x:c>
      <x:c r="G79" s="54" t="str">
        <x:v>RECOVERED</x:v>
      </x:c>
      <x:c r="H79" s="54" t="str">
        <x:v>QAR-0001 &gt; QAR-0003 &gt; OFT-0004 &gt; KIT-0005 &gt; KIT-0012 &gt; ASM-0014</x:v>
      </x:c>
      <x:c r="I79"/>
    </x:row>
    <x:row r="80">
      <x:c r="A80" s="63" t="n">
        <x:v>5</x:v>
      </x:c>
      <x:c r="B80" s="63" t="str">
        <x:v>KIT-0012</x:v>
      </x:c>
      <x:c r="C80" s="63" t="str">
        <x:v>MAT-0002</x:v>
      </x:c>
      <x:c r="D80" s="63" t="str">
        <x:v>Six-Pounder Cannon Wad</x:v>
      </x:c>
      <x:c r="E80" s="63" t="n">
        <x:v>40</x:v>
      </x:c>
      <x:c r="F80" s="63" t="n">
        <x:v>640</x:v>
      </x:c>
      <x:c r="G80" s="54" t="str">
        <x:v>RECOVERED</x:v>
      </x:c>
      <x:c r="H80" s="54" t="str">
        <x:v>QAR-0001 &gt; QAR-0003 &gt; OFT-0004 &gt; KIT-0005 &gt; KIT-0012 &gt; MAT-0002</x:v>
      </x:c>
      <x:c r="I80"/>
    </x:row>
    <x:row r="81">
      <x:c r="A81" s="63" t="n">
        <x:v>5</x:v>
      </x:c>
      <x:c r="B81" s="63" t="str">
        <x:v>KIT-0012</x:v>
      </x:c>
      <x:c r="C81" s="63" t="str">
        <x:v>PRT-0038</x:v>
      </x:c>
      <x:c r="D81" s="63" t="str">
        <x:v>Six-Pounder Wooden Tompion</x:v>
      </x:c>
      <x:c r="E81" s="63" t="n">
        <x:v>1</x:v>
      </x:c>
      <x:c r="F81" s="63" t="n">
        <x:v>16</x:v>
      </x:c>
      <x:c r="G81" s="54" t="str">
        <x:v>RECOVERED</x:v>
      </x:c>
      <x:c r="H81" s="54" t="str">
        <x:v>QAR-0001 &gt; QAR-0003 &gt; OFT-0004 &gt; KIT-0005 &gt; KIT-0012 &gt; PRT-0038</x:v>
      </x:c>
      <x:c r="I81"/>
    </x:row>
    <x:row r="82">
      <x:c r="A82" s="63" t="n">
        <x:v>4</x:v>
      </x:c>
      <x:c r="B82" s="63" t="str">
        <x:v>KIT-0005</x:v>
      </x:c>
      <x:c r="C82" s="63" t="str">
        <x:v>LBL-0001</x:v>
      </x:c>
      <x:c r="D82" s="63" t="str">
        <x:v>Safety Label - Six-Pounder Station</x:v>
      </x:c>
      <x:c r="E82" s="63" t="n">
        <x:v>1</x:v>
      </x:c>
      <x:c r="F82" s="63" t="n">
        <x:v>16</x:v>
      </x:c>
      <x:c r="G82" s="54" t="str">
        <x:v>FICTIONAL</x:v>
      </x:c>
      <x:c r="H82" s="54" t="str">
        <x:v>QAR-0001 &gt; QAR-0003 &gt; OFT-0004 &gt; KIT-0005 &gt; LBL-0001</x:v>
      </x:c>
      <x:c r="I82"/>
    </x:row>
    <x:row r="83">
      <x:c r="A83" s="63" t="n">
        <x:v>2</x:v>
      </x:c>
      <x:c r="B83" s="63" t="str">
        <x:v>QAR-0003</x:v>
      </x:c>
      <x:c r="C83" s="63" t="str">
        <x:v>OFT-0005</x:v>
      </x:c>
      <x:c r="D83" s="63" t="str">
        <x:v>Four-Pounder Upper Battery</x:v>
      </x:c>
      <x:c r="E83" s="63" t="n">
        <x:v>1</x:v>
      </x:c>
      <x:c r="F83" s="63" t="n">
        <x:v>1</x:v>
      </x:c>
      <x:c r="G83" s="54" t="str">
        <x:v>RECONSTRUCTED</x:v>
      </x:c>
      <x:c r="H83" s="54" t="str">
        <x:v>QAR-0001 &gt; QAR-0003 &gt; OFT-0005</x:v>
      </x:c>
      <x:c r="I83"/>
    </x:row>
    <x:row r="84">
      <x:c r="A84" s="63" t="n">
        <x:v>3</x:v>
      </x:c>
      <x:c r="B84" s="63" t="str">
        <x:v>OFT-0005</x:v>
      </x:c>
      <x:c r="C84" s="63" t="str">
        <x:v>KIT-0006</x:v>
      </x:c>
      <x:c r="D84" s="63" t="str">
        <x:v>Complete Four-Pounder Cannon Station</x:v>
      </x:c>
      <x:c r="E84" s="63" t="n">
        <x:v>16</x:v>
      </x:c>
      <x:c r="F84" s="63" t="n">
        <x:v>16</x:v>
      </x:c>
      <x:c r="G84" s="54" t="str">
        <x:v>RECONSTRUCTED</x:v>
      </x:c>
      <x:c r="H84" s="54" t="str">
        <x:v>QAR-0001 &gt; QAR-0003 &gt; OFT-0005 &gt; KIT-0006</x:v>
      </x:c>
      <x:c r="I84"/>
    </x:row>
    <x:row r="85">
      <x:c r="A85" s="63" t="n">
        <x:v>4</x:v>
      </x:c>
      <x:c r="B85" s="63" t="str">
        <x:v>KIT-0006</x:v>
      </x:c>
      <x:c r="C85" s="63" t="str">
        <x:v>PRT-0018</x:v>
      </x:c>
      <x:c r="D85" s="63" t="str">
        <x:v>Iron Four-Pounder Cannon Barrel</x:v>
      </x:c>
      <x:c r="E85" s="63" t="n">
        <x:v>1</x:v>
      </x:c>
      <x:c r="F85" s="63" t="n">
        <x:v>16</x:v>
      </x:c>
      <x:c r="G85" s="54" t="str">
        <x:v>RECOVERED</x:v>
      </x:c>
      <x:c r="H85" s="54" t="str">
        <x:v>QAR-0001 &gt; QAR-0003 &gt; OFT-0005 &gt; KIT-0006 &gt; PRT-0018</x:v>
      </x:c>
      <x:c r="I85"/>
    </x:row>
    <x:row r="86">
      <x:c r="A86" s="63" t="n">
        <x:v>4</x:v>
      </x:c>
      <x:c r="B86" s="63" t="str">
        <x:v>KIT-0006</x:v>
      </x:c>
      <x:c r="C86" s="63" t="str">
        <x:v>ASM-0009</x:v>
      </x:c>
      <x:c r="D86" s="63" t="str">
        <x:v>Four-Pounder Gun Carriage</x:v>
      </x:c>
      <x:c r="E86" s="63" t="n">
        <x:v>1</x:v>
      </x:c>
      <x:c r="F86" s="63" t="n">
        <x:v>16</x:v>
      </x:c>
      <x:c r="G86" s="54" t="str">
        <x:v>RECONSTRUCTED</x:v>
      </x:c>
      <x:c r="H86" s="54" t="str">
        <x:v>QAR-0001 &gt; QAR-0003 &gt; OFT-0005 &gt; KIT-0006 &gt; ASM-0009</x:v>
      </x:c>
      <x:c r="I86"/>
    </x:row>
    <x:row r="87">
      <x:c r="A87" s="63" t="n">
        <x:v>5</x:v>
      </x:c>
      <x:c r="B87" s="63" t="str">
        <x:v>ASM-0009</x:v>
      </x:c>
      <x:c r="C87" s="63" t="str">
        <x:v>PRT-0021</x:v>
      </x:c>
      <x:c r="D87" s="63" t="str">
        <x:v>Four-Pounder Carriage Cheek</x:v>
      </x:c>
      <x:c r="E87" s="63" t="n">
        <x:v>2</x:v>
      </x:c>
      <x:c r="F87" s="63" t="n">
        <x:v>32</x:v>
      </x:c>
      <x:c r="G87" s="54" t="str">
        <x:v>RECONSTRUCTED</x:v>
      </x:c>
      <x:c r="H87" s="54" t="str">
        <x:v>QAR-0001 &gt; QAR-0003 &gt; OFT-0005 &gt; KIT-0006 &gt; ASM-0009 &gt; PRT-0021</x:v>
      </x:c>
      <x:c r="I87"/>
    </x:row>
    <x:row r="88">
      <x:c r="A88" s="63" t="n">
        <x:v>5</x:v>
      </x:c>
      <x:c r="B88" s="63" t="str">
        <x:v>ASM-0009</x:v>
      </x:c>
      <x:c r="C88" s="63" t="str">
        <x:v>PRT-0023</x:v>
      </x:c>
      <x:c r="D88" s="63" t="str">
        <x:v>Four-Pounder Carriage Bed</x:v>
      </x:c>
      <x:c r="E88" s="63" t="n">
        <x:v>1</x:v>
      </x:c>
      <x:c r="F88" s="63" t="n">
        <x:v>16</x:v>
      </x:c>
      <x:c r="G88" s="54" t="str">
        <x:v>RECONSTRUCTED</x:v>
      </x:c>
      <x:c r="H88" s="54" t="str">
        <x:v>QAR-0001 &gt; QAR-0003 &gt; OFT-0005 &gt; KIT-0006 &gt; ASM-0009 &gt; PRT-0023</x:v>
      </x:c>
      <x:c r="I88"/>
    </x:row>
    <x:row r="89">
      <x:c r="A89" s="63" t="n">
        <x:v>5</x:v>
      </x:c>
      <x:c r="B89" s="63" t="str">
        <x:v>ASM-0009</x:v>
      </x:c>
      <x:c r="C89" s="63" t="str">
        <x:v>PRT-0025</x:v>
      </x:c>
      <x:c r="D89" s="63" t="str">
        <x:v>Four-Pounder Carriage Axle</x:v>
      </x:c>
      <x:c r="E89" s="63" t="n">
        <x:v>2</x:v>
      </x:c>
      <x:c r="F89" s="63" t="n">
        <x:v>32</x:v>
      </x:c>
      <x:c r="G89" s="54" t="str">
        <x:v>RECONSTRUCTED</x:v>
      </x:c>
      <x:c r="H89" s="54" t="str">
        <x:v>QAR-0001 &gt; QAR-0003 &gt; OFT-0005 &gt; KIT-0006 &gt; ASM-0009 &gt; PRT-0025</x:v>
      </x:c>
      <x:c r="I89"/>
    </x:row>
    <x:row r="90">
      <x:c r="A90" s="63" t="n">
        <x:v>5</x:v>
      </x:c>
      <x:c r="B90" s="63" t="str">
        <x:v>ASM-0009</x:v>
      </x:c>
      <x:c r="C90" s="63" t="str">
        <x:v>PRT-0027</x:v>
      </x:c>
      <x:c r="D90" s="63" t="str">
        <x:v>Four-Pounder Carriage Truck Wheel</x:v>
      </x:c>
      <x:c r="E90" s="63" t="n">
        <x:v>4</x:v>
      </x:c>
      <x:c r="F90" s="63" t="n">
        <x:v>64</x:v>
      </x:c>
      <x:c r="G90" s="54" t="str">
        <x:v>RECONSTRUCTED</x:v>
      </x:c>
      <x:c r="H90" s="54" t="str">
        <x:v>QAR-0001 &gt; QAR-0003 &gt; OFT-0005 &gt; KIT-0006 &gt; ASM-0009 &gt; PRT-0027</x:v>
      </x:c>
      <x:c r="I90"/>
    </x:row>
    <x:row r="91">
      <x:c r="A91" s="63" t="n">
        <x:v>5</x:v>
      </x:c>
      <x:c r="B91" s="63" t="str">
        <x:v>ASM-0009</x:v>
      </x:c>
      <x:c r="C91" s="63" t="str">
        <x:v>PRT-0028</x:v>
      </x:c>
      <x:c r="D91" s="63" t="str">
        <x:v>Gun Carriage Transom</x:v>
      </x:c>
      <x:c r="E91" s="63" t="n">
        <x:v>2</x:v>
      </x:c>
      <x:c r="F91" s="63" t="n">
        <x:v>32</x:v>
      </x:c>
      <x:c r="G91" s="54" t="str">
        <x:v>RECONSTRUCTED</x:v>
      </x:c>
      <x:c r="H91" s="54" t="str">
        <x:v>QAR-0001 &gt; QAR-0003 &gt; OFT-0005 &gt; KIT-0006 &gt; ASM-0009 &gt; PRT-0028</x:v>
      </x:c>
      <x:c r="I91"/>
    </x:row>
    <x:row r="92">
      <x:c r="A92" s="63" t="n">
        <x:v>5</x:v>
      </x:c>
      <x:c r="B92" s="63" t="str">
        <x:v>ASM-0009</x:v>
      </x:c>
      <x:c r="C92" s="63" t="str">
        <x:v>PRT-0029</x:v>
      </x:c>
      <x:c r="D92" s="63" t="str">
        <x:v>Gun Carriage Linchpin</x:v>
      </x:c>
      <x:c r="E92" s="63" t="n">
        <x:v>4</x:v>
      </x:c>
      <x:c r="F92" s="63" t="n">
        <x:v>64</x:v>
      </x:c>
      <x:c r="G92" s="54" t="str">
        <x:v>RECONSTRUCTED</x:v>
      </x:c>
      <x:c r="H92" s="54" t="str">
        <x:v>QAR-0001 &gt; QAR-0003 &gt; OFT-0005 &gt; KIT-0006 &gt; ASM-0009 &gt; PRT-0029</x:v>
      </x:c>
      <x:c r="I92"/>
    </x:row>
    <x:row r="93">
      <x:c r="A93" s="63" t="n">
        <x:v>5</x:v>
      </x:c>
      <x:c r="B93" s="63" t="str">
        <x:v>ASM-0009</x:v>
      </x:c>
      <x:c r="C93" s="63" t="str">
        <x:v>ASM-0011</x:v>
      </x:c>
      <x:c r="D93" s="63" t="str">
        <x:v>Gun Carriage Capsquare and Key</x:v>
      </x:c>
      <x:c r="E93" s="63" t="n">
        <x:v>2</x:v>
      </x:c>
      <x:c r="F93" s="63" t="n">
        <x:v>32</x:v>
      </x:c>
      <x:c r="G93" s="54" t="str">
        <x:v>RECONSTRUCTED</x:v>
      </x:c>
      <x:c r="H93" s="54" t="str">
        <x:v>QAR-0001 &gt; QAR-0003 &gt; OFT-0005 &gt; KIT-0006 &gt; ASM-0009 &gt; ASM-0011</x:v>
      </x:c>
      <x:c r="I93"/>
    </x:row>
    <x:row r="94">
      <x:c r="A94" s="63" t="n">
        <x:v>5</x:v>
      </x:c>
      <x:c r="B94" s="63" t="str">
        <x:v>ASM-0009</x:v>
      </x:c>
      <x:c r="C94" s="63" t="str">
        <x:v>PRT-0030</x:v>
      </x:c>
      <x:c r="D94" s="63" t="str">
        <x:v>Gun Elevation Quoin</x:v>
      </x:c>
      <x:c r="E94" s="63" t="n">
        <x:v>1</x:v>
      </x:c>
      <x:c r="F94" s="63" t="n">
        <x:v>16</x:v>
      </x:c>
      <x:c r="G94" s="54" t="str">
        <x:v>RECONSTRUCTED</x:v>
      </x:c>
      <x:c r="H94" s="54" t="str">
        <x:v>QAR-0001 &gt; QAR-0003 &gt; OFT-0005 &gt; KIT-0006 &gt; ASM-0009 &gt; PRT-0030</x:v>
      </x:c>
      <x:c r="I94"/>
    </x:row>
    <x:row r="95">
      <x:c r="A95" s="63" t="n">
        <x:v>4</x:v>
      </x:c>
      <x:c r="B95" s="63" t="str">
        <x:v>KIT-0006</x:v>
      </x:c>
      <x:c r="C95" s="63" t="str">
        <x:v>KIT-0008</x:v>
      </x:c>
      <x:c r="D95" s="63" t="str">
        <x:v>Cannon Service Tool Kit</x:v>
      </x:c>
      <x:c r="E95" s="63" t="n">
        <x:v>1</x:v>
      </x:c>
      <x:c r="F95" s="63" t="n">
        <x:v>16</x:v>
      </x:c>
      <x:c r="G95" s="54" t="str">
        <x:v>RECOVERED</x:v>
      </x:c>
      <x:c r="H95" s="54" t="str">
        <x:v>QAR-0001 &gt; QAR-0003 &gt; OFT-0005 &gt; KIT-0006 &gt; KIT-0008</x:v>
      </x:c>
      <x:c r="I95"/>
    </x:row>
    <x:row r="96">
      <x:c r="A96" s="63" t="n">
        <x:v>5</x:v>
      </x:c>
      <x:c r="B96" s="63" t="str">
        <x:v>KIT-0008</x:v>
      </x:c>
      <x:c r="C96" s="63" t="str">
        <x:v>PRT-0031</x:v>
      </x:c>
      <x:c r="D96" s="63" t="str">
        <x:v>Cannon Rammer</x:v>
      </x:c>
      <x:c r="E96" s="63" t="n">
        <x:v>1</x:v>
      </x:c>
      <x:c r="F96" s="63" t="n">
        <x:v>16</x:v>
      </x:c>
      <x:c r="G96" s="54" t="str">
        <x:v>RECONSTRUCTED</x:v>
      </x:c>
      <x:c r="H96" s="54" t="str">
        <x:v>QAR-0001 &gt; QAR-0003 &gt; OFT-0005 &gt; KIT-0006 &gt; KIT-0008 &gt; PRT-0031</x:v>
      </x:c>
      <x:c r="I96"/>
    </x:row>
    <x:row r="97">
      <x:c r="A97" s="63" t="n">
        <x:v>5</x:v>
      </x:c>
      <x:c r="B97" s="63" t="str">
        <x:v>KIT-0008</x:v>
      </x:c>
      <x:c r="C97" s="63" t="str">
        <x:v>PRT-0032</x:v>
      </x:c>
      <x:c r="D97" s="63" t="str">
        <x:v>Cannon Sponge</x:v>
      </x:c>
      <x:c r="E97" s="63" t="n">
        <x:v>1</x:v>
      </x:c>
      <x:c r="F97" s="63" t="n">
        <x:v>16</x:v>
      </x:c>
      <x:c r="G97" s="54" t="str">
        <x:v>RECONSTRUCTED</x:v>
      </x:c>
      <x:c r="H97" s="54" t="str">
        <x:v>QAR-0001 &gt; QAR-0003 &gt; OFT-0005 &gt; KIT-0006 &gt; KIT-0008 &gt; PRT-0032</x:v>
      </x:c>
      <x:c r="I97"/>
    </x:row>
    <x:row r="98">
      <x:c r="A98" s="63" t="n">
        <x:v>5</x:v>
      </x:c>
      <x:c r="B98" s="63" t="str">
        <x:v>KIT-0008</x:v>
      </x:c>
      <x:c r="C98" s="63" t="str">
        <x:v>PRT-0033</x:v>
      </x:c>
      <x:c r="D98" s="63" t="str">
        <x:v>Cannon Worm</x:v>
      </x:c>
      <x:c r="E98" s="63" t="n">
        <x:v>1</x:v>
      </x:c>
      <x:c r="F98" s="63" t="n">
        <x:v>16</x:v>
      </x:c>
      <x:c r="G98" s="54" t="str">
        <x:v>RECONSTRUCTED</x:v>
      </x:c>
      <x:c r="H98" s="54" t="str">
        <x:v>QAR-0001 &gt; QAR-0003 &gt; OFT-0005 &gt; KIT-0006 &gt; KIT-0008 &gt; PRT-0033</x:v>
      </x:c>
      <x:c r="I98"/>
    </x:row>
    <x:row r="99">
      <x:c r="A99" s="63" t="n">
        <x:v>5</x:v>
      </x:c>
      <x:c r="B99" s="63" t="str">
        <x:v>KIT-0008</x:v>
      </x:c>
      <x:c r="C99" s="63" t="str">
        <x:v>PRT-0034</x:v>
      </x:c>
      <x:c r="D99" s="63" t="str">
        <x:v>Powder Ladle</x:v>
      </x:c>
      <x:c r="E99" s="63" t="n">
        <x:v>1</x:v>
      </x:c>
      <x:c r="F99" s="63" t="n">
        <x:v>16</x:v>
      </x:c>
      <x:c r="G99" s="54" t="str">
        <x:v>RECONSTRUCTED</x:v>
      </x:c>
      <x:c r="H99" s="54" t="str">
        <x:v>QAR-0001 &gt; QAR-0003 &gt; OFT-0005 &gt; KIT-0006 &gt; KIT-0008 &gt; PRT-0034</x:v>
      </x:c>
      <x:c r="I99"/>
    </x:row>
    <x:row r="100">
      <x:c r="A100" s="63" t="n">
        <x:v>5</x:v>
      </x:c>
      <x:c r="B100" s="63" t="str">
        <x:v>KIT-0008</x:v>
      </x:c>
      <x:c r="C100" s="63" t="str">
        <x:v>PRT-0035</x:v>
      </x:c>
      <x:c r="D100" s="63" t="str">
        <x:v>Slow-Match Linstock</x:v>
      </x:c>
      <x:c r="E100" s="63" t="n">
        <x:v>1</x:v>
      </x:c>
      <x:c r="F100" s="63" t="n">
        <x:v>16</x:v>
      </x:c>
      <x:c r="G100" s="54" t="str">
        <x:v>RECONSTRUCTED</x:v>
      </x:c>
      <x:c r="H100" s="54" t="str">
        <x:v>QAR-0001 &gt; QAR-0003 &gt; OFT-0005 &gt; KIT-0006 &gt; KIT-0008 &gt; PRT-0035</x:v>
      </x:c>
      <x:c r="I100"/>
    </x:row>
    <x:row r="101">
      <x:c r="A101" s="63" t="n">
        <x:v>5</x:v>
      </x:c>
      <x:c r="B101" s="63" t="str">
        <x:v>KIT-0008</x:v>
      </x:c>
      <x:c r="C101" s="63" t="str">
        <x:v>PRT-0036</x:v>
      </x:c>
      <x:c r="D101" s="63" t="str">
        <x:v>Gunner's Handspike</x:v>
      </x:c>
      <x:c r="E101" s="63" t="n">
        <x:v>2</x:v>
      </x:c>
      <x:c r="F101" s="63" t="n">
        <x:v>32</x:v>
      </x:c>
      <x:c r="G101" s="54" t="str">
        <x:v>RECOVERED</x:v>
      </x:c>
      <x:c r="H101" s="54" t="str">
        <x:v>QAR-0001 &gt; QAR-0003 &gt; OFT-0005 &gt; KIT-0006 &gt; KIT-0008 &gt; PRT-0036</x:v>
      </x:c>
      <x:c r="I101"/>
    </x:row>
    <x:row r="102">
      <x:c r="A102" s="63" t="n">
        <x:v>5</x:v>
      </x:c>
      <x:c r="B102" s="63" t="str">
        <x:v>KIT-0008</x:v>
      </x:c>
      <x:c r="C102" s="63" t="str">
        <x:v>KIT-0015</x:v>
      </x:c>
      <x:c r="D102" s="63" t="str">
        <x:v>Vent Pick and Priming Wire Set</x:v>
      </x:c>
      <x:c r="E102" s="63" t="n">
        <x:v>1</x:v>
      </x:c>
      <x:c r="F102" s="63" t="n">
        <x:v>16</x:v>
      </x:c>
      <x:c r="G102" s="54" t="str">
        <x:v>RECONSTRUCTED</x:v>
      </x:c>
      <x:c r="H102" s="54" t="str">
        <x:v>QAR-0001 &gt; QAR-0003 &gt; OFT-0005 &gt; KIT-0006 &gt; KIT-0008 &gt; KIT-0015</x:v>
      </x:c>
      <x:c r="I102"/>
    </x:row>
    <x:row r="103">
      <x:c r="A103" s="63" t="n">
        <x:v>5</x:v>
      </x:c>
      <x:c r="B103" s="63" t="str">
        <x:v>KIT-0008</x:v>
      </x:c>
      <x:c r="C103" s="63" t="str">
        <x:v>PRT-0037</x:v>
      </x:c>
      <x:c r="D103" s="63" t="str">
        <x:v>Lead Touch-Hole Apron</x:v>
      </x:c>
      <x:c r="E103" s="63" t="n">
        <x:v>1</x:v>
      </x:c>
      <x:c r="F103" s="63" t="n">
        <x:v>16</x:v>
      </x:c>
      <x:c r="G103" s="54" t="str">
        <x:v>RECOVERED</x:v>
      </x:c>
      <x:c r="H103" s="54" t="str">
        <x:v>QAR-0001 &gt; QAR-0003 &gt; OFT-0005 &gt; KIT-0006 &gt; KIT-0008 &gt; PRT-0037</x:v>
      </x:c>
      <x:c r="I103"/>
    </x:row>
    <x:row r="104">
      <x:c r="A104" s="63" t="n">
        <x:v>5</x:v>
      </x:c>
      <x:c r="B104" s="63" t="str">
        <x:v>KIT-0008</x:v>
      </x:c>
      <x:c r="C104" s="63" t="str">
        <x:v>PRT-0040</x:v>
      </x:c>
      <x:c r="D104" s="63" t="str">
        <x:v>Gunner's Water Bucket</x:v>
      </x:c>
      <x:c r="E104" s="63" t="n">
        <x:v>1</x:v>
      </x:c>
      <x:c r="F104" s="63" t="n">
        <x:v>16</x:v>
      </x:c>
      <x:c r="G104" s="54" t="str">
        <x:v>RECONSTRUCTED</x:v>
      </x:c>
      <x:c r="H104" s="54" t="str">
        <x:v>QAR-0001 &gt; QAR-0003 &gt; OFT-0005 &gt; KIT-0006 &gt; KIT-0008 &gt; PRT-0040</x:v>
      </x:c>
      <x:c r="I104"/>
    </x:row>
    <x:row r="105">
      <x:c r="A105" s="63" t="n">
        <x:v>4</x:v>
      </x:c>
      <x:c r="B105" s="63" t="str">
        <x:v>KIT-0006</x:v>
      </x:c>
      <x:c r="C105" s="63" t="str">
        <x:v>KIT-0011</x:v>
      </x:c>
      <x:c r="D105" s="63" t="str">
        <x:v>Four-Pounder Breeching and Side-Tackle Set</x:v>
      </x:c>
      <x:c r="E105" s="63" t="n">
        <x:v>1</x:v>
      </x:c>
      <x:c r="F105" s="63" t="n">
        <x:v>16</x:v>
      </x:c>
      <x:c r="G105" s="54" t="str">
        <x:v>RECONSTRUCTED</x:v>
      </x:c>
      <x:c r="H105" s="54" t="str">
        <x:v>QAR-0001 &gt; QAR-0003 &gt; OFT-0005 &gt; KIT-0006 &gt; KIT-0011</x:v>
      </x:c>
      <x:c r="I105"/>
    </x:row>
    <x:row r="106">
      <x:c r="A106" s="63" t="n">
        <x:v>5</x:v>
      </x:c>
      <x:c r="B106" s="63" t="str">
        <x:v>KIT-0011</x:v>
      </x:c>
      <x:c r="C106" s="63" t="str">
        <x:v>PRT-0044</x:v>
      </x:c>
      <x:c r="D106" s="63" t="str">
        <x:v>Four-Pounder Breeching Rope, 20 ft</x:v>
      </x:c>
      <x:c r="E106" s="63" t="n">
        <x:v>1</x:v>
      </x:c>
      <x:c r="F106" s="63" t="n">
        <x:v>16</x:v>
      </x:c>
      <x:c r="G106" s="54" t="str">
        <x:v>RECONSTRUCTED</x:v>
      </x:c>
      <x:c r="H106" s="54" t="str">
        <x:v>QAR-0001 &gt; QAR-0003 &gt; OFT-0005 &gt; KIT-0006 &gt; KIT-0011 &gt; PRT-0044</x:v>
      </x:c>
      <x:c r="I106"/>
    </x:row>
    <x:row r="107">
      <x:c r="A107" s="63" t="n">
        <x:v>5</x:v>
      </x:c>
      <x:c r="B107" s="63" t="str">
        <x:v>KIT-0011</x:v>
      </x:c>
      <x:c r="C107" s="63" t="str">
        <x:v>ASM-0013</x:v>
      </x:c>
      <x:c r="D107" s="63" t="str">
        <x:v>Gun Side-Tackle Assembly</x:v>
      </x:c>
      <x:c r="E107" s="63" t="n">
        <x:v>2</x:v>
      </x:c>
      <x:c r="F107" s="63" t="n">
        <x:v>32</x:v>
      </x:c>
      <x:c r="G107" s="54" t="str">
        <x:v>RECONSTRUCTED</x:v>
      </x:c>
      <x:c r="H107" s="54" t="str">
        <x:v>QAR-0001 &gt; QAR-0003 &gt; OFT-0005 &gt; KIT-0006 &gt; KIT-0011 &gt; ASM-0013</x:v>
      </x:c>
      <x:c r="I107"/>
    </x:row>
    <x:row r="108">
      <x:c r="A108" s="63" t="n">
        <x:v>6</x:v>
      </x:c>
      <x:c r="B108" s="63" t="str">
        <x:v>ASM-0013</x:v>
      </x:c>
      <x:c r="C108" s="63" t="str">
        <x:v>PRT-0045</x:v>
      </x:c>
      <x:c r="D108" s="63" t="str">
        <x:v>Five-Inch Single Block</x:v>
      </x:c>
      <x:c r="E108" s="63" t="n">
        <x:v>1</x:v>
      </x:c>
      <x:c r="F108" s="63" t="n">
        <x:v>32</x:v>
      </x:c>
      <x:c r="G108" s="54" t="str">
        <x:v>RECONSTRUCTED</x:v>
      </x:c>
      <x:c r="H108" s="54" t="str">
        <x:v>QAR-0001 &gt; QAR-0003 &gt; OFT-0005 &gt; KIT-0006 &gt; KIT-0011 &gt; ASM-0013 &gt; PRT-0045</x:v>
      </x:c>
      <x:c r="I108"/>
    </x:row>
    <x:row r="109">
      <x:c r="A109" s="63" t="n">
        <x:v>6</x:v>
      </x:c>
      <x:c r="B109" s="63" t="str">
        <x:v>ASM-0013</x:v>
      </x:c>
      <x:c r="C109" s="63" t="str">
        <x:v>PRT-0046</x:v>
      </x:c>
      <x:c r="D109" s="63" t="str">
        <x:v>Five-Inch Double Block</x:v>
      </x:c>
      <x:c r="E109" s="63" t="n">
        <x:v>1</x:v>
      </x:c>
      <x:c r="F109" s="63" t="n">
        <x:v>32</x:v>
      </x:c>
      <x:c r="G109" s="54" t="str">
        <x:v>RECONSTRUCTED</x:v>
      </x:c>
      <x:c r="H109" s="54" t="str">
        <x:v>QAR-0001 &gt; QAR-0003 &gt; OFT-0005 &gt; KIT-0006 &gt; KIT-0011 &gt; ASM-0013 &gt; PRT-0046</x:v>
      </x:c>
      <x:c r="I109"/>
    </x:row>
    <x:row r="110">
      <x:c r="A110" s="63" t="n">
        <x:v>6</x:v>
      </x:c>
      <x:c r="B110" s="63" t="str">
        <x:v>ASM-0013</x:v>
      </x:c>
      <x:c r="C110" s="63" t="str">
        <x:v>PRT-0047</x:v>
      </x:c>
      <x:c r="D110" s="63" t="str">
        <x:v>Gun Tackle Fall, 30 ft</x:v>
      </x:c>
      <x:c r="E110" s="63" t="n">
        <x:v>1</x:v>
      </x:c>
      <x:c r="F110" s="63" t="n">
        <x:v>32</x:v>
      </x:c>
      <x:c r="G110" s="54" t="str">
        <x:v>RECONSTRUCTED</x:v>
      </x:c>
      <x:c r="H110" s="54" t="str">
        <x:v>QAR-0001 &gt; QAR-0003 &gt; OFT-0005 &gt; KIT-0006 &gt; KIT-0011 &gt; ASM-0013 &gt; PRT-0047</x:v>
      </x:c>
      <x:c r="I110"/>
    </x:row>
    <x:row r="111">
      <x:c r="A111" s="63" t="n">
        <x:v>6</x:v>
      </x:c>
      <x:c r="B111" s="63" t="str">
        <x:v>ASM-0013</x:v>
      </x:c>
      <x:c r="C111" s="63" t="str">
        <x:v>PRT-0048</x:v>
      </x:c>
      <x:c r="D111" s="63" t="str">
        <x:v>Iron Tackle Hook</x:v>
      </x:c>
      <x:c r="E111" s="63" t="n">
        <x:v>2</x:v>
      </x:c>
      <x:c r="F111" s="63" t="n">
        <x:v>64</x:v>
      </x:c>
      <x:c r="G111" s="54" t="str">
        <x:v>RECONSTRUCTED</x:v>
      </x:c>
      <x:c r="H111" s="54" t="str">
        <x:v>QAR-0001 &gt; QAR-0003 &gt; OFT-0005 &gt; KIT-0006 &gt; KIT-0011 &gt; ASM-0013 &gt; PRT-0048</x:v>
      </x:c>
      <x:c r="I111"/>
    </x:row>
    <x:row r="112">
      <x:c r="A112" s="63" t="n">
        <x:v>4</x:v>
      </x:c>
      <x:c r="B112" s="63" t="str">
        <x:v>KIT-0006</x:v>
      </x:c>
      <x:c r="C112" s="63" t="str">
        <x:v>KIT-0013</x:v>
      </x:c>
      <x:c r="D112" s="63" t="str">
        <x:v>Four-Pounder Ready-Shot Allowance</x:v>
      </x:c>
      <x:c r="E112" s="63" t="n">
        <x:v>1</x:v>
      </x:c>
      <x:c r="F112" s="63" t="n">
        <x:v>16</x:v>
      </x:c>
      <x:c r="G112" s="54" t="str">
        <x:v>RECONSTRUCTED</x:v>
      </x:c>
      <x:c r="H112" s="54" t="str">
        <x:v>QAR-0001 &gt; QAR-0003 &gt; OFT-0005 &gt; KIT-0006 &gt; KIT-0013</x:v>
      </x:c>
      <x:c r="I112"/>
    </x:row>
    <x:row r="113">
      <x:c r="A113" s="63" t="n">
        <x:v>5</x:v>
      </x:c>
      <x:c r="B113" s="63" t="str">
        <x:v>KIT-0013</x:v>
      </x:c>
      <x:c r="C113" s="63" t="str">
        <x:v>ASM-0016</x:v>
      </x:c>
      <x:c r="D113" s="63" t="str">
        <x:v>Four-Pounder Ready-Shot Rack</x:v>
      </x:c>
      <x:c r="E113" s="63" t="n">
        <x:v>1</x:v>
      </x:c>
      <x:c r="F113" s="63" t="n">
        <x:v>16</x:v>
      </x:c>
      <x:c r="G113" s="54" t="str">
        <x:v>RECONSTRUCTED</x:v>
      </x:c>
      <x:c r="H113" s="54" t="str">
        <x:v>QAR-0001 &gt; QAR-0003 &gt; OFT-0005 &gt; KIT-0006 &gt; KIT-0013 &gt; ASM-0016</x:v>
      </x:c>
      <x:c r="I113"/>
    </x:row>
    <x:row r="114">
      <x:c r="A114" s="63" t="n">
        <x:v>5</x:v>
      </x:c>
      <x:c r="B114" s="63" t="str">
        <x:v>KIT-0013</x:v>
      </x:c>
      <x:c r="C114" s="63" t="str">
        <x:v>PRT-0050</x:v>
      </x:c>
      <x:c r="D114" s="63" t="str">
        <x:v>Four-Pound Round Shot</x:v>
      </x:c>
      <x:c r="E114" s="63" t="n">
        <x:v>30</x:v>
      </x:c>
      <x:c r="F114" s="63" t="n">
        <x:v>480</x:v>
      </x:c>
      <x:c r="G114" s="54" t="str">
        <x:v>RECOVERED</x:v>
      </x:c>
      <x:c r="H114" s="54" t="str">
        <x:v>QAR-0001 &gt; QAR-0003 &gt; OFT-0005 &gt; KIT-0006 &gt; KIT-0013 &gt; PRT-0050</x:v>
      </x:c>
      <x:c r="I114"/>
    </x:row>
    <x:row r="115">
      <x:c r="A115" s="63" t="n">
        <x:v>5</x:v>
      </x:c>
      <x:c r="B115" s="63" t="str">
        <x:v>KIT-0013</x:v>
      </x:c>
      <x:c r="C115" s="63" t="str">
        <x:v>ASM-0014</x:v>
      </x:c>
      <x:c r="D115" s="63" t="str">
        <x:v>Langrage Canister</x:v>
      </x:c>
      <x:c r="E115" s="63" t="n">
        <x:v>4</x:v>
      </x:c>
      <x:c r="F115" s="63" t="n">
        <x:v>64</x:v>
      </x:c>
      <x:c r="G115" s="54" t="str">
        <x:v>RECOVERED</x:v>
      </x:c>
      <x:c r="H115" s="54" t="str">
        <x:v>QAR-0001 &gt; QAR-0003 &gt; OFT-0005 &gt; KIT-0006 &gt; KIT-0013 &gt; ASM-0014</x:v>
      </x:c>
      <x:c r="I115"/>
    </x:row>
    <x:row r="116">
      <x:c r="A116" s="63" t="n">
        <x:v>5</x:v>
      </x:c>
      <x:c r="B116" s="63" t="str">
        <x:v>KIT-0013</x:v>
      </x:c>
      <x:c r="C116" s="63" t="str">
        <x:v>MAT-0003</x:v>
      </x:c>
      <x:c r="D116" s="63" t="str">
        <x:v>Four-Pounder Cannon Wad</x:v>
      </x:c>
      <x:c r="E116" s="63" t="n">
        <x:v>40</x:v>
      </x:c>
      <x:c r="F116" s="63" t="n">
        <x:v>640</x:v>
      </x:c>
      <x:c r="G116" s="54" t="str">
        <x:v>RECOVERED</x:v>
      </x:c>
      <x:c r="H116" s="54" t="str">
        <x:v>QAR-0001 &gt; QAR-0003 &gt; OFT-0005 &gt; KIT-0006 &gt; KIT-0013 &gt; MAT-0003</x:v>
      </x:c>
      <x:c r="I116"/>
    </x:row>
    <x:row r="117">
      <x:c r="A117" s="63" t="n">
        <x:v>5</x:v>
      </x:c>
      <x:c r="B117" s="63" t="str">
        <x:v>KIT-0013</x:v>
      </x:c>
      <x:c r="C117" s="63" t="str">
        <x:v>PRT-0039</x:v>
      </x:c>
      <x:c r="D117" s="63" t="str">
        <x:v>Four-Pounder Wooden Tompion</x:v>
      </x:c>
      <x:c r="E117" s="63" t="n">
        <x:v>1</x:v>
      </x:c>
      <x:c r="F117" s="63" t="n">
        <x:v>16</x:v>
      </x:c>
      <x:c r="G117" s="54" t="str">
        <x:v>RECOVERED</x:v>
      </x:c>
      <x:c r="H117" s="54" t="str">
        <x:v>QAR-0001 &gt; QAR-0003 &gt; OFT-0005 &gt; KIT-0006 &gt; KIT-0013 &gt; PRT-0039</x:v>
      </x:c>
      <x:c r="I117"/>
    </x:row>
    <x:row r="118">
      <x:c r="A118" s="63" t="n">
        <x:v>4</x:v>
      </x:c>
      <x:c r="B118" s="63" t="str">
        <x:v>KIT-0006</x:v>
      </x:c>
      <x:c r="C118" s="63" t="str">
        <x:v>LBL-0002</x:v>
      </x:c>
      <x:c r="D118" s="63" t="str">
        <x:v>Safety Label - Four-Pounder Station</x:v>
      </x:c>
      <x:c r="E118" s="63" t="n">
        <x:v>1</x:v>
      </x:c>
      <x:c r="F118" s="63" t="n">
        <x:v>16</x:v>
      </x:c>
      <x:c r="G118" s="54" t="str">
        <x:v>FICTIONAL</x:v>
      </x:c>
      <x:c r="H118" s="54" t="str">
        <x:v>QAR-0001 &gt; QAR-0003 &gt; OFT-0005 &gt; KIT-0006 &gt; LBL-0002</x:v>
      </x:c>
      <x:c r="I118"/>
    </x:row>
    <x:row r="119">
      <x:c r="A119" s="63" t="n">
        <x:v>2</x:v>
      </x:c>
      <x:c r="B119" s="63" t="str">
        <x:v>QAR-0003</x:v>
      </x:c>
      <x:c r="C119" s="63" t="str">
        <x:v>OFT-0006</x:v>
      </x:c>
      <x:c r="D119" s="63" t="str">
        <x:v>Swivel-Gun Rail Battery</x:v>
      </x:c>
      <x:c r="E119" s="63" t="n">
        <x:v>1</x:v>
      </x:c>
      <x:c r="F119" s="63" t="n">
        <x:v>1</x:v>
      </x:c>
      <x:c r="G119" s="54" t="str">
        <x:v>RECONSTRUCTED</x:v>
      </x:c>
      <x:c r="H119" s="54" t="str">
        <x:v>QAR-0001 &gt; QAR-0003 &gt; OFT-0006</x:v>
      </x:c>
      <x:c r="I119"/>
    </x:row>
    <x:row r="120">
      <x:c r="A120" s="63" t="n">
        <x:v>3</x:v>
      </x:c>
      <x:c r="B120" s="63" t="str">
        <x:v>OFT-0006</x:v>
      </x:c>
      <x:c r="C120" s="63" t="str">
        <x:v>KIT-0007</x:v>
      </x:c>
      <x:c r="D120" s="63" t="str">
        <x:v>Complete Half-Pounder Swivel-Gun Station</x:v>
      </x:c>
      <x:c r="E120" s="63" t="n">
        <x:v>8</x:v>
      </x:c>
      <x:c r="F120" s="63" t="n">
        <x:v>8</x:v>
      </x:c>
      <x:c r="G120" s="54" t="str">
        <x:v>RECONSTRUCTED</x:v>
      </x:c>
      <x:c r="H120" s="54" t="str">
        <x:v>QAR-0001 &gt; QAR-0003 &gt; OFT-0006 &gt; KIT-0007</x:v>
      </x:c>
      <x:c r="I120"/>
    </x:row>
    <x:row r="121">
      <x:c r="A121" s="63" t="n">
        <x:v>4</x:v>
      </x:c>
      <x:c r="B121" s="63" t="str">
        <x:v>KIT-0007</x:v>
      </x:c>
      <x:c r="C121" s="63" t="str">
        <x:v>PRT-0019</x:v>
      </x:c>
      <x:c r="D121" s="63" t="str">
        <x:v>Iron Half-Pounder Swivel Gun</x:v>
      </x:c>
      <x:c r="E121" s="63" t="n">
        <x:v>1</x:v>
      </x:c>
      <x:c r="F121" s="63" t="n">
        <x:v>8</x:v>
      </x:c>
      <x:c r="G121" s="54" t="str">
        <x:v>RECOVERED</x:v>
      </x:c>
      <x:c r="H121" s="54" t="str">
        <x:v>QAR-0001 &gt; QAR-0003 &gt; OFT-0006 &gt; KIT-0007 &gt; PRT-0019</x:v>
      </x:c>
      <x:c r="I121"/>
    </x:row>
    <x:row r="122">
      <x:c r="A122" s="63" t="n">
        <x:v>4</x:v>
      </x:c>
      <x:c r="B122" s="63" t="str">
        <x:v>KIT-0007</x:v>
      </x:c>
      <x:c r="C122" s="63" t="str">
        <x:v>ASM-0010</x:v>
      </x:c>
      <x:c r="D122" s="63" t="str">
        <x:v>Swivel-Gun Yoke and Pintle Mount</x:v>
      </x:c>
      <x:c r="E122" s="63" t="n">
        <x:v>1</x:v>
      </x:c>
      <x:c r="F122" s="63" t="n">
        <x:v>8</x:v>
      </x:c>
      <x:c r="G122" s="54" t="str">
        <x:v>RECONSTRUCTED</x:v>
      </x:c>
      <x:c r="H122" s="54" t="str">
        <x:v>QAR-0001 &gt; QAR-0003 &gt; OFT-0006 &gt; KIT-0007 &gt; ASM-0010</x:v>
      </x:c>
      <x:c r="I122"/>
    </x:row>
    <x:row r="123">
      <x:c r="A123" s="63" t="n">
        <x:v>5</x:v>
      </x:c>
      <x:c r="B123" s="63" t="str">
        <x:v>ASM-0010</x:v>
      </x:c>
      <x:c r="C123" s="63" t="str">
        <x:v>PRT-0041</x:v>
      </x:c>
      <x:c r="D123" s="63" t="str">
        <x:v>Iron Swivel Yoke</x:v>
      </x:c>
      <x:c r="E123" s="63" t="n">
        <x:v>1</x:v>
      </x:c>
      <x:c r="F123" s="63" t="n">
        <x:v>8</x:v>
      </x:c>
      <x:c r="G123" s="54" t="str">
        <x:v>RECOVERED</x:v>
      </x:c>
      <x:c r="H123" s="54" t="str">
        <x:v>QAR-0001 &gt; QAR-0003 &gt; OFT-0006 &gt; KIT-0007 &gt; ASM-0010 &gt; PRT-0041</x:v>
      </x:c>
      <x:c r="I123"/>
    </x:row>
    <x:row r="124">
      <x:c r="A124" s="63" t="n">
        <x:v>5</x:v>
      </x:c>
      <x:c r="B124" s="63" t="str">
        <x:v>ASM-0010</x:v>
      </x:c>
      <x:c r="C124" s="63" t="str">
        <x:v>PRT-0042</x:v>
      </x:c>
      <x:c r="D124" s="63" t="str">
        <x:v>Iron Swivel Pintle</x:v>
      </x:c>
      <x:c r="E124" s="63" t="n">
        <x:v>1</x:v>
      </x:c>
      <x:c r="F124" s="63" t="n">
        <x:v>8</x:v>
      </x:c>
      <x:c r="G124" s="54" t="str">
        <x:v>RECOVERED</x:v>
      </x:c>
      <x:c r="H124" s="54" t="str">
        <x:v>QAR-0001 &gt; QAR-0003 &gt; OFT-0006 &gt; KIT-0007 &gt; ASM-0010 &gt; PRT-0042</x:v>
      </x:c>
      <x:c r="I124"/>
    </x:row>
    <x:row r="125">
      <x:c r="A125" s="63" t="n">
        <x:v>4</x:v>
      </x:c>
      <x:c r="B125" s="63" t="str">
        <x:v>KIT-0007</x:v>
      </x:c>
      <x:c r="C125" s="63" t="str">
        <x:v>KIT-0009</x:v>
      </x:c>
      <x:c r="D125" s="63" t="str">
        <x:v>Swivel-Gun Service Tool Kit</x:v>
      </x:c>
      <x:c r="E125" s="63" t="n">
        <x:v>1</x:v>
      </x:c>
      <x:c r="F125" s="63" t="n">
        <x:v>8</x:v>
      </x:c>
      <x:c r="G125" s="54" t="str">
        <x:v>RECONSTRUCTED</x:v>
      </x:c>
      <x:c r="H125" s="54" t="str">
        <x:v>QAR-0001 &gt; QAR-0003 &gt; OFT-0006 &gt; KIT-0007 &gt; KIT-0009</x:v>
      </x:c>
      <x:c r="I125"/>
    </x:row>
    <x:row r="126">
      <x:c r="A126" s="63" t="n">
        <x:v>5</x:v>
      </x:c>
      <x:c r="B126" s="63" t="str">
        <x:v>KIT-0009</x:v>
      </x:c>
      <x:c r="C126" s="63" t="str">
        <x:v>ASM-0012</x:v>
      </x:c>
      <x:c r="D126" s="63" t="str">
        <x:v>Swivel-Gun Rammer and Sponge</x:v>
      </x:c>
      <x:c r="E126" s="63" t="n">
        <x:v>1</x:v>
      </x:c>
      <x:c r="F126" s="63" t="n">
        <x:v>8</x:v>
      </x:c>
      <x:c r="G126" s="54" t="str">
        <x:v>RECONSTRUCTED</x:v>
      </x:c>
      <x:c r="H126" s="54" t="str">
        <x:v>QAR-0001 &gt; QAR-0003 &gt; OFT-0006 &gt; KIT-0007 &gt; KIT-0009 &gt; ASM-0012</x:v>
      </x:c>
      <x:c r="I126"/>
    </x:row>
    <x:row r="127">
      <x:c r="A127" s="63" t="n">
        <x:v>5</x:v>
      </x:c>
      <x:c r="B127" s="63" t="str">
        <x:v>KIT-0009</x:v>
      </x:c>
      <x:c r="C127" s="63" t="str">
        <x:v>KIT-0015</x:v>
      </x:c>
      <x:c r="D127" s="63" t="str">
        <x:v>Vent Pick and Priming Wire Set</x:v>
      </x:c>
      <x:c r="E127" s="63" t="n">
        <x:v>1</x:v>
      </x:c>
      <x:c r="F127" s="63" t="n">
        <x:v>8</x:v>
      </x:c>
      <x:c r="G127" s="54" t="str">
        <x:v>RECONSTRUCTED</x:v>
      </x:c>
      <x:c r="H127" s="54" t="str">
        <x:v>QAR-0001 &gt; QAR-0003 &gt; OFT-0006 &gt; KIT-0007 &gt; KIT-0009 &gt; KIT-0015</x:v>
      </x:c>
      <x:c r="I127"/>
    </x:row>
    <x:row r="128">
      <x:c r="A128" s="63" t="n">
        <x:v>5</x:v>
      </x:c>
      <x:c r="B128" s="63" t="str">
        <x:v>KIT-0009</x:v>
      </x:c>
      <x:c r="C128" s="63" t="str">
        <x:v>PRT-0037</x:v>
      </x:c>
      <x:c r="D128" s="63" t="str">
        <x:v>Lead Touch-Hole Apron</x:v>
      </x:c>
      <x:c r="E128" s="63" t="n">
        <x:v>1</x:v>
      </x:c>
      <x:c r="F128" s="63" t="n">
        <x:v>8</x:v>
      </x:c>
      <x:c r="G128" s="54" t="str">
        <x:v>RECOVERED</x:v>
      </x:c>
      <x:c r="H128" s="54" t="str">
        <x:v>QAR-0001 &gt; QAR-0003 &gt; OFT-0006 &gt; KIT-0007 &gt; KIT-0009 &gt; PRT-0037</x:v>
      </x:c>
      <x:c r="I128"/>
    </x:row>
    <x:row r="129">
      <x:c r="A129" s="63" t="n">
        <x:v>4</x:v>
      </x:c>
      <x:c r="B129" s="63" t="str">
        <x:v>KIT-0007</x:v>
      </x:c>
      <x:c r="C129" s="63" t="str">
        <x:v>KIT-0014</x:v>
      </x:c>
      <x:c r="D129" s="63" t="str">
        <x:v>Swivel-Gun Ready-Shot Allowance</x:v>
      </x:c>
      <x:c r="E129" s="63" t="n">
        <x:v>1</x:v>
      </x:c>
      <x:c r="F129" s="63" t="n">
        <x:v>8</x:v>
      </x:c>
      <x:c r="G129" s="54" t="str">
        <x:v>RECONSTRUCTED</x:v>
      </x:c>
      <x:c r="H129" s="54" t="str">
        <x:v>QAR-0001 &gt; QAR-0003 &gt; OFT-0006 &gt; KIT-0007 &gt; KIT-0014</x:v>
      </x:c>
      <x:c r="I129"/>
    </x:row>
    <x:row r="130">
      <x:c r="A130" s="63" t="n">
        <x:v>5</x:v>
      </x:c>
      <x:c r="B130" s="63" t="str">
        <x:v>KIT-0014</x:v>
      </x:c>
      <x:c r="C130" s="63" t="str">
        <x:v>PKG-0001</x:v>
      </x:c>
      <x:c r="D130" s="63" t="str">
        <x:v>Swivel Shot Box</x:v>
      </x:c>
      <x:c r="E130" s="63" t="n">
        <x:v>1</x:v>
      </x:c>
      <x:c r="F130" s="63" t="n">
        <x:v>8</x:v>
      </x:c>
      <x:c r="G130" s="54" t="str">
        <x:v>RECONSTRUCTED</x:v>
      </x:c>
      <x:c r="H130" s="54" t="str">
        <x:v>QAR-0001 &gt; QAR-0003 &gt; OFT-0006 &gt; KIT-0007 &gt; KIT-0014 &gt; PKG-0001</x:v>
      </x:c>
      <x:c r="I130"/>
    </x:row>
    <x:row r="131">
      <x:c r="A131" s="63" t="n">
        <x:v>5</x:v>
      </x:c>
      <x:c r="B131" s="63" t="str">
        <x:v>KIT-0014</x:v>
      </x:c>
      <x:c r="C131" s="63" t="str">
        <x:v>PRT-0051</x:v>
      </x:c>
      <x:c r="D131" s="63" t="str">
        <x:v>Half-Pound Swivel-Gun Lead Shot</x:v>
      </x:c>
      <x:c r="E131" s="63" t="n">
        <x:v>100</x:v>
      </x:c>
      <x:c r="F131" s="63" t="n">
        <x:v>800</x:v>
      </x:c>
      <x:c r="G131" s="54" t="str">
        <x:v>RECOVERED</x:v>
      </x:c>
      <x:c r="H131" s="54" t="str">
        <x:v>QAR-0001 &gt; QAR-0003 &gt; OFT-0006 &gt; KIT-0007 &gt; KIT-0014 &gt; PRT-0051</x:v>
      </x:c>
      <x:c r="I131"/>
    </x:row>
    <x:row r="132">
      <x:c r="A132" s="63" t="n">
        <x:v>4</x:v>
      </x:c>
      <x:c r="B132" s="63" t="str">
        <x:v>KIT-0007</x:v>
      </x:c>
      <x:c r="C132" s="63" t="str">
        <x:v>LBL-0003</x:v>
      </x:c>
      <x:c r="D132" s="63" t="str">
        <x:v>Safety Label - Swivel-Gun Station</x:v>
      </x:c>
      <x:c r="E132" s="63" t="n">
        <x:v>1</x:v>
      </x:c>
      <x:c r="F132" s="63" t="n">
        <x:v>8</x:v>
      </x:c>
      <x:c r="G132" s="54" t="str">
        <x:v>FICTIONAL</x:v>
      </x:c>
      <x:c r="H132" s="54" t="str">
        <x:v>QAR-0001 &gt; QAR-0003 &gt; OFT-0006 &gt; KIT-0007 &gt; LBL-0003</x:v>
      </x:c>
      <x:c r="I132"/>
    </x:row>
    <x:row r="133">
      <x:c r="A133" s="63" t="n">
        <x:v>2</x:v>
      </x:c>
      <x:c r="B133" s="63" t="str">
        <x:v>QAR-0003</x:v>
      </x:c>
      <x:c r="C133" s="63" t="str">
        <x:v>OFT-0007</x:v>
      </x:c>
      <x:c r="D133" s="63" t="str">
        <x:v>Powder Magazine Outfit</x:v>
      </x:c>
      <x:c r="E133" s="63" t="n">
        <x:v>1</x:v>
      </x:c>
      <x:c r="F133" s="63" t="n">
        <x:v>1</x:v>
      </x:c>
      <x:c r="G133" s="54" t="str">
        <x:v>RECONSTRUCTED</x:v>
      </x:c>
      <x:c r="H133" s="54" t="str">
        <x:v>QAR-0001 &gt; QAR-0003 &gt; OFT-0007</x:v>
      </x:c>
      <x:c r="I133"/>
    </x:row>
    <x:row r="134">
      <x:c r="A134" s="63" t="n">
        <x:v>3</x:v>
      </x:c>
      <x:c r="B134" s="63" t="str">
        <x:v>OFT-0007</x:v>
      </x:c>
      <x:c r="C134" s="63" t="str">
        <x:v>ASM-0017</x:v>
      </x:c>
      <x:c r="D134" s="63" t="str">
        <x:v>Black Powder Keg, Sealed 25 lb</x:v>
      </x:c>
      <x:c r="E134" s="63" t="n">
        <x:v>80</x:v>
      </x:c>
      <x:c r="F134" s="63" t="n">
        <x:v>80</x:v>
      </x:c>
      <x:c r="G134" s="54" t="str">
        <x:v>RECONSTRUCTED</x:v>
      </x:c>
      <x:c r="H134" s="54" t="str">
        <x:v>QAR-0001 &gt; QAR-0003 &gt; OFT-0007 &gt; ASM-0017</x:v>
      </x:c>
      <x:c r="I134"/>
    </x:row>
    <x:row r="135">
      <x:c r="A135" s="63" t="n">
        <x:v>4</x:v>
      </x:c>
      <x:c r="B135" s="63" t="str">
        <x:v>ASM-0017</x:v>
      </x:c>
      <x:c r="C135" s="63" t="str">
        <x:v>PKG-0002</x:v>
      </x:c>
      <x:c r="D135" s="63" t="str">
        <x:v>Oak Powder Keg, 25 lb Capacity</x:v>
      </x:c>
      <x:c r="E135" s="63" t="n">
        <x:v>1</x:v>
      </x:c>
      <x:c r="F135" s="63" t="n">
        <x:v>80</x:v>
      </x:c>
      <x:c r="G135" s="54" t="str">
        <x:v>RECOVERED</x:v>
      </x:c>
      <x:c r="H135" s="54" t="str">
        <x:v>QAR-0001 &gt; QAR-0003 &gt; OFT-0007 &gt; ASM-0017 &gt; PKG-0002</x:v>
      </x:c>
      <x:c r="I135"/>
    </x:row>
    <x:row r="136">
      <x:c r="A136" s="63" t="n">
        <x:v>4</x:v>
      </x:c>
      <x:c r="B136" s="63" t="str">
        <x:v>ASM-0017</x:v>
      </x:c>
      <x:c r="C136" s="63" t="str">
        <x:v>MAT-0004</x:v>
      </x:c>
      <x:c r="D136" s="63" t="str">
        <x:v>Black Powder, Bulk Pound</x:v>
      </x:c>
      <x:c r="E136" s="63" t="n">
        <x:v>25</x:v>
      </x:c>
      <x:c r="F136" s="63" t="n">
        <x:v>2000</x:v>
      </x:c>
      <x:c r="G136" s="54" t="str">
        <x:v>RECONSTRUCTED</x:v>
      </x:c>
      <x:c r="H136" s="54" t="str">
        <x:v>QAR-0001 &gt; QAR-0003 &gt; OFT-0007 &gt; ASM-0017 &gt; MAT-0004</x:v>
      </x:c>
      <x:c r="I136"/>
    </x:row>
    <x:row r="137">
      <x:c r="A137" s="63" t="n">
        <x:v>4</x:v>
      </x:c>
      <x:c r="B137" s="63" t="str">
        <x:v>ASM-0017</x:v>
      </x:c>
      <x:c r="C137" s="63" t="str">
        <x:v>LBL-0004</x:v>
      </x:c>
      <x:c r="D137" s="63" t="str">
        <x:v>Safety Label - Black Powder / No Flame</x:v>
      </x:c>
      <x:c r="E137" s="63" t="n">
        <x:v>1</x:v>
      </x:c>
      <x:c r="F137" s="63" t="n">
        <x:v>80</x:v>
      </x:c>
      <x:c r="G137" s="54" t="str">
        <x:v>FICTIONAL</x:v>
      </x:c>
      <x:c r="H137" s="54" t="str">
        <x:v>QAR-0001 &gt; QAR-0003 &gt; OFT-0007 &gt; ASM-0017 &gt; LBL-0004</x:v>
      </x:c>
      <x:c r="I137"/>
    </x:row>
    <x:row r="138">
      <x:c r="A138" s="63" t="n">
        <x:v>3</x:v>
      </x:c>
      <x:c r="B138" s="63" t="str">
        <x:v>OFT-0007</x:v>
      </x:c>
      <x:c r="C138" s="63" t="str">
        <x:v>KIT-0016</x:v>
      </x:c>
      <x:c r="D138" s="63" t="str">
        <x:v>Magazine Measuring and Issue Kit</x:v>
      </x:c>
      <x:c r="E138" s="63" t="n">
        <x:v>2</x:v>
      </x:c>
      <x:c r="F138" s="63" t="n">
        <x:v>2</x:v>
      </x:c>
      <x:c r="G138" s="54" t="str">
        <x:v>RECONSTRUCTED</x:v>
      </x:c>
      <x:c r="H138" s="54" t="str">
        <x:v>QAR-0001 &gt; QAR-0003 &gt; OFT-0007 &gt; KIT-0016</x:v>
      </x:c>
      <x:c r="I138"/>
    </x:row>
    <x:row r="139">
      <x:c r="A139" s="63" t="n">
        <x:v>4</x:v>
      </x:c>
      <x:c r="B139" s="63" t="str">
        <x:v>KIT-0016</x:v>
      </x:c>
      <x:c r="C139" s="63" t="str">
        <x:v>PRT-0053</x:v>
      </x:c>
      <x:c r="D139" s="63" t="str">
        <x:v>Brass Powder Scale</x:v>
      </x:c>
      <x:c r="E139" s="63" t="n">
        <x:v>1</x:v>
      </x:c>
      <x:c r="F139" s="63" t="n">
        <x:v>2</x:v>
      </x:c>
      <x:c r="G139" s="54" t="str">
        <x:v>RECOVERED</x:v>
      </x:c>
      <x:c r="H139" s="54" t="str">
        <x:v>QAR-0001 &gt; QAR-0003 &gt; OFT-0007 &gt; KIT-0016 &gt; PRT-0053</x:v>
      </x:c>
      <x:c r="I139"/>
    </x:row>
    <x:row r="140">
      <x:c r="A140" s="63" t="n">
        <x:v>4</x:v>
      </x:c>
      <x:c r="B140" s="63" t="str">
        <x:v>KIT-0016</x:v>
      </x:c>
      <x:c r="C140" s="63" t="str">
        <x:v>KIT-0017</x:v>
      </x:c>
      <x:c r="D140" s="63" t="str">
        <x:v>Brass Powder Weight Set</x:v>
      </x:c>
      <x:c r="E140" s="63" t="n">
        <x:v>1</x:v>
      </x:c>
      <x:c r="F140" s="63" t="n">
        <x:v>2</x:v>
      </x:c>
      <x:c r="G140" s="54" t="str">
        <x:v>RECOVERED</x:v>
      </x:c>
      <x:c r="H140" s="54" t="str">
        <x:v>QAR-0001 &gt; QAR-0003 &gt; OFT-0007 &gt; KIT-0016 &gt; KIT-0017</x:v>
      </x:c>
      <x:c r="I140"/>
    </x:row>
    <x:row r="141">
      <x:c r="A141" s="63" t="n">
        <x:v>4</x:v>
      </x:c>
      <x:c r="B141" s="63" t="str">
        <x:v>KIT-0016</x:v>
      </x:c>
      <x:c r="C141" s="63" t="str">
        <x:v>PRT-0054</x:v>
      </x:c>
      <x:c r="D141" s="63" t="str">
        <x:v>Copper Powder Scoop</x:v>
      </x:c>
      <x:c r="E141" s="63" t="n">
        <x:v>2</x:v>
      </x:c>
      <x:c r="F141" s="63" t="n">
        <x:v>4</x:v>
      </x:c>
      <x:c r="G141" s="54" t="str">
        <x:v>RECONSTRUCTED</x:v>
      </x:c>
      <x:c r="H141" s="54" t="str">
        <x:v>QAR-0001 &gt; QAR-0003 &gt; OFT-0007 &gt; KIT-0016 &gt; PRT-0054</x:v>
      </x:c>
      <x:c r="I141"/>
    </x:row>
    <x:row r="142">
      <x:c r="A142" s="63" t="n">
        <x:v>4</x:v>
      </x:c>
      <x:c r="B142" s="63" t="str">
        <x:v>KIT-0016</x:v>
      </x:c>
      <x:c r="C142" s="63" t="str">
        <x:v>PRT-0055</x:v>
      </x:c>
      <x:c r="D142" s="63" t="str">
        <x:v>Copper Cartridge Funnel</x:v>
      </x:c>
      <x:c r="E142" s="63" t="n">
        <x:v>2</x:v>
      </x:c>
      <x:c r="F142" s="63" t="n">
        <x:v>4</x:v>
      </x:c>
      <x:c r="G142" s="54" t="str">
        <x:v>RECONSTRUCTED</x:v>
      </x:c>
      <x:c r="H142" s="54" t="str">
        <x:v>QAR-0001 &gt; QAR-0003 &gt; OFT-0007 &gt; KIT-0016 &gt; PRT-0055</x:v>
      </x:c>
      <x:c r="I142"/>
    </x:row>
    <x:row r="143">
      <x:c r="A143" s="63" t="n">
        <x:v>3</x:v>
      </x:c>
      <x:c r="B143" s="63" t="str">
        <x:v>OFT-0007</x:v>
      </x:c>
      <x:c r="C143" s="63" t="str">
        <x:v>ASM-0018</x:v>
      </x:c>
      <x:c r="D143" s="63" t="str">
        <x:v>Enclosed Magazine Lantern</x:v>
      </x:c>
      <x:c r="E143" s="63" t="n">
        <x:v>4</x:v>
      </x:c>
      <x:c r="F143" s="63" t="n">
        <x:v>4</x:v>
      </x:c>
      <x:c r="G143" s="54" t="str">
        <x:v>RECONSTRUCTED</x:v>
      </x:c>
      <x:c r="H143" s="54" t="str">
        <x:v>QAR-0001 &gt; QAR-0003 &gt; OFT-0007 &gt; ASM-0018</x:v>
      </x:c>
      <x:c r="I143"/>
    </x:row>
    <x:row r="144">
      <x:c r="A144" s="63" t="n">
        <x:v>3</x:v>
      </x:c>
      <x:c r="B144" s="63" t="str">
        <x:v>OFT-0007</x:v>
      </x:c>
      <x:c r="C144" s="63" t="str">
        <x:v>PKG-0003</x:v>
      </x:c>
      <x:c r="D144" s="63" t="str">
        <x:v>Leather-Lined Powder Passing Box</x:v>
      </x:c>
      <x:c r="E144" s="63" t="n">
        <x:v>12</x:v>
      </x:c>
      <x:c r="F144" s="63" t="n">
        <x:v>12</x:v>
      </x:c>
      <x:c r="G144" s="54" t="str">
        <x:v>RECONSTRUCTED</x:v>
      </x:c>
      <x:c r="H144" s="54" t="str">
        <x:v>QAR-0001 &gt; QAR-0003 &gt; OFT-0007 &gt; PKG-0003</x:v>
      </x:c>
      <x:c r="I144"/>
    </x:row>
    <x:row r="145">
      <x:c r="A145" s="63" t="n">
        <x:v>3</x:v>
      </x:c>
      <x:c r="B145" s="63" t="str">
        <x:v>OFT-0007</x:v>
      </x:c>
      <x:c r="C145" s="63" t="str">
        <x:v>MAT-0005</x:v>
      </x:c>
      <x:c r="D145" s="63" t="str">
        <x:v>Six-Pounder Powder Cartridge Bag</x:v>
      </x:c>
      <x:c r="E145" s="63" t="n">
        <x:v>800</x:v>
      </x:c>
      <x:c r="F145" s="63" t="n">
        <x:v>800</x:v>
      </x:c>
      <x:c r="G145" s="54" t="str">
        <x:v>RECONSTRUCTED</x:v>
      </x:c>
      <x:c r="H145" s="54" t="str">
        <x:v>QAR-0001 &gt; QAR-0003 &gt; OFT-0007 &gt; MAT-0005</x:v>
      </x:c>
      <x:c r="I145"/>
    </x:row>
    <x:row r="146">
      <x:c r="A146" s="63" t="n">
        <x:v>3</x:v>
      </x:c>
      <x:c r="B146" s="63" t="str">
        <x:v>OFT-0007</x:v>
      </x:c>
      <x:c r="C146" s="63" t="str">
        <x:v>MAT-0006</x:v>
      </x:c>
      <x:c r="D146" s="63" t="str">
        <x:v>Four-Pounder Powder Cartridge Bag</x:v>
      </x:c>
      <x:c r="E146" s="63" t="n">
        <x:v>800</x:v>
      </x:c>
      <x:c r="F146" s="63" t="n">
        <x:v>800</x:v>
      </x:c>
      <x:c r="G146" s="54" t="str">
        <x:v>RECONSTRUCTED</x:v>
      </x:c>
      <x:c r="H146" s="54" t="str">
        <x:v>QAR-0001 &gt; QAR-0003 &gt; OFT-0007 &gt; MAT-0006</x:v>
      </x:c>
      <x:c r="I146"/>
    </x:row>
    <x:row r="147">
      <x:c r="A147" s="63" t="n">
        <x:v>3</x:v>
      </x:c>
      <x:c r="B147" s="63" t="str">
        <x:v>OFT-0007</x:v>
      </x:c>
      <x:c r="C147" s="63" t="str">
        <x:v>LBL-0004</x:v>
      </x:c>
      <x:c r="D147" s="63" t="str">
        <x:v>Safety Label - Black Powder / No Flame</x:v>
      </x:c>
      <x:c r="E147" s="63" t="n">
        <x:v>6</x:v>
      </x:c>
      <x:c r="F147" s="63" t="n">
        <x:v>6</x:v>
      </x:c>
      <x:c r="G147" s="54" t="str">
        <x:v>FICTIONAL</x:v>
      </x:c>
      <x:c r="H147" s="54" t="str">
        <x:v>QAR-0001 &gt; QAR-0003 &gt; OFT-0007 &gt; LBL-0004</x:v>
      </x:c>
      <x:c r="I147"/>
    </x:row>
    <x:row r="148">
      <x:c r="A148" s="63" t="n">
        <x:v>2</x:v>
      </x:c>
      <x:c r="B148" s="63" t="str">
        <x:v>QAR-0003</x:v>
      </x:c>
      <x:c r="C148" s="63" t="str">
        <x:v>OFT-0008</x:v>
      </x:c>
      <x:c r="D148" s="63" t="str">
        <x:v>Small Arms and Boarding Outfit</x:v>
      </x:c>
      <x:c r="E148" s="63" t="n">
        <x:v>1</x:v>
      </x:c>
      <x:c r="F148" s="63" t="n">
        <x:v>1</x:v>
      </x:c>
      <x:c r="G148" s="54" t="str">
        <x:v>RECONSTRUCTED</x:v>
      </x:c>
      <x:c r="H148" s="54" t="str">
        <x:v>QAR-0001 &gt; QAR-0003 &gt; OFT-0008</x:v>
      </x:c>
      <x:c r="I148"/>
    </x:row>
    <x:row r="149">
      <x:c r="A149" s="63" t="n">
        <x:v>3</x:v>
      </x:c>
      <x:c r="B149" s="63" t="str">
        <x:v>OFT-0008</x:v>
      </x:c>
      <x:c r="C149" s="63" t="str">
        <x:v>KIT-0018</x:v>
      </x:c>
      <x:c r="D149" s="63" t="str">
        <x:v>Flintlock Musket Outfit</x:v>
      </x:c>
      <x:c r="E149" s="63" t="n">
        <x:v>150</x:v>
      </x:c>
      <x:c r="F149" s="63" t="n">
        <x:v>150</x:v>
      </x:c>
      <x:c r="G149" s="54" t="str">
        <x:v>RECONSTRUCTED</x:v>
      </x:c>
      <x:c r="H149" s="54" t="str">
        <x:v>QAR-0001 &gt; QAR-0003 &gt; OFT-0008 &gt; KIT-0018</x:v>
      </x:c>
      <x:c r="I149"/>
    </x:row>
    <x:row r="150">
      <x:c r="A150" s="63" t="n">
        <x:v>4</x:v>
      </x:c>
      <x:c r="B150" s="63" t="str">
        <x:v>KIT-0018</x:v>
      </x:c>
      <x:c r="C150" s="63" t="str">
        <x:v>PRT-0059</x:v>
      </x:c>
      <x:c r="D150" s="63" t="str">
        <x:v>Flintlock Musket</x:v>
      </x:c>
      <x:c r="E150" s="63" t="n">
        <x:v>1</x:v>
      </x:c>
      <x:c r="F150" s="63" t="n">
        <x:v>150</x:v>
      </x:c>
      <x:c r="G150" s="54" t="str">
        <x:v>RECOVERED</x:v>
      </x:c>
      <x:c r="H150" s="54" t="str">
        <x:v>QAR-0001 &gt; QAR-0003 &gt; OFT-0008 &gt; KIT-0018 &gt; PRT-0059</x:v>
      </x:c>
      <x:c r="I150"/>
    </x:row>
    <x:row r="151">
      <x:c r="A151" s="63" t="n">
        <x:v>4</x:v>
      </x:c>
      <x:c r="B151" s="63" t="str">
        <x:v>KIT-0018</x:v>
      </x:c>
      <x:c r="C151" s="63" t="str">
        <x:v>PKG-0004</x:v>
      </x:c>
      <x:c r="D151" s="63" t="str">
        <x:v>Leather Cartridge Box</x:v>
      </x:c>
      <x:c r="E151" s="63" t="n">
        <x:v>1</x:v>
      </x:c>
      <x:c r="F151" s="63" t="n">
        <x:v>150</x:v>
      </x:c>
      <x:c r="G151" s="54" t="str">
        <x:v>RECONSTRUCTED</x:v>
      </x:c>
      <x:c r="H151" s="54" t="str">
        <x:v>QAR-0001 &gt; QAR-0003 &gt; OFT-0008 &gt; KIT-0018 &gt; PKG-0004</x:v>
      </x:c>
      <x:c r="I151"/>
    </x:row>
    <x:row r="152">
      <x:c r="A152" s="63" t="n">
        <x:v>4</x:v>
      </x:c>
      <x:c r="B152" s="63" t="str">
        <x:v>KIT-0018</x:v>
      </x:c>
      <x:c r="C152" s="63" t="str">
        <x:v>MAT-0007</x:v>
      </x:c>
      <x:c r="D152" s="63" t="str">
        <x:v>Gunflint</x:v>
      </x:c>
      <x:c r="E152" s="63" t="n">
        <x:v>6</x:v>
      </x:c>
      <x:c r="F152" s="63" t="n">
        <x:v>900</x:v>
      </x:c>
      <x:c r="G152" s="54" t="str">
        <x:v>RECOVERED</x:v>
      </x:c>
      <x:c r="H152" s="54" t="str">
        <x:v>QAR-0001 &gt; QAR-0003 &gt; OFT-0008 &gt; KIT-0018 &gt; MAT-0007</x:v>
      </x:c>
      <x:c r="I152"/>
    </x:row>
    <x:row r="153">
      <x:c r="A153" s="63" t="n">
        <x:v>4</x:v>
      </x:c>
      <x:c r="B153" s="63" t="str">
        <x:v>KIT-0018</x:v>
      </x:c>
      <x:c r="C153" s="63" t="str">
        <x:v>MAT-0008</x:v>
      </x:c>
      <x:c r="D153" s="63" t="str">
        <x:v>Musket Ball</x:v>
      </x:c>
      <x:c r="E153" s="63" t="n">
        <x:v>24</x:v>
      </x:c>
      <x:c r="F153" s="63" t="n">
        <x:v>3600</x:v>
      </x:c>
      <x:c r="G153" s="54" t="str">
        <x:v>RECOVERED</x:v>
      </x:c>
      <x:c r="H153" s="54" t="str">
        <x:v>QAR-0001 &gt; QAR-0003 &gt; OFT-0008 &gt; KIT-0018 &gt; MAT-0008</x:v>
      </x:c>
      <x:c r="I153"/>
    </x:row>
    <x:row r="154">
      <x:c r="A154" s="63" t="n">
        <x:v>4</x:v>
      </x:c>
      <x:c r="B154" s="63" t="str">
        <x:v>KIT-0018</x:v>
      </x:c>
      <x:c r="C154" s="63" t="str">
        <x:v>PRT-0061</x:v>
      </x:c>
      <x:c r="D154" s="63" t="str">
        <x:v>Personal Firearm Cleaning Tool</x:v>
      </x:c>
      <x:c r="E154" s="63" t="n">
        <x:v>1</x:v>
      </x:c>
      <x:c r="F154" s="63" t="n">
        <x:v>150</x:v>
      </x:c>
      <x:c r="G154" s="54" t="str">
        <x:v>RECONSTRUCTED</x:v>
      </x:c>
      <x:c r="H154" s="54" t="str">
        <x:v>QAR-0001 &gt; QAR-0003 &gt; OFT-0008 &gt; KIT-0018 &gt; PRT-0061</x:v>
      </x:c>
      <x:c r="I154"/>
    </x:row>
    <x:row r="155">
      <x:c r="A155" s="63" t="n">
        <x:v>3</x:v>
      </x:c>
      <x:c r="B155" s="63" t="str">
        <x:v>OFT-0008</x:v>
      </x:c>
      <x:c r="C155" s="63" t="str">
        <x:v>KIT-0019</x:v>
      </x:c>
      <x:c r="D155" s="63" t="str">
        <x:v>Flintlock Pistol Pair Outfit</x:v>
      </x:c>
      <x:c r="E155" s="63" t="n">
        <x:v>75</x:v>
      </x:c>
      <x:c r="F155" s="63" t="n">
        <x:v>75</x:v>
      </x:c>
      <x:c r="G155" s="54" t="str">
        <x:v>RECONSTRUCTED</x:v>
      </x:c>
      <x:c r="H155" s="54" t="str">
        <x:v>QAR-0001 &gt; QAR-0003 &gt; OFT-0008 &gt; KIT-0019</x:v>
      </x:c>
      <x:c r="I155"/>
    </x:row>
    <x:row r="156">
      <x:c r="A156" s="63" t="n">
        <x:v>4</x:v>
      </x:c>
      <x:c r="B156" s="63" t="str">
        <x:v>KIT-0019</x:v>
      </x:c>
      <x:c r="C156" s="63" t="str">
        <x:v>PRT-0060</x:v>
      </x:c>
      <x:c r="D156" s="63" t="str">
        <x:v>Flintlock Pistol</x:v>
      </x:c>
      <x:c r="E156" s="63" t="n">
        <x:v>2</x:v>
      </x:c>
      <x:c r="F156" s="63" t="n">
        <x:v>150</x:v>
      </x:c>
      <x:c r="G156" s="54" t="str">
        <x:v>RECOVERED</x:v>
      </x:c>
      <x:c r="H156" s="54" t="str">
        <x:v>QAR-0001 &gt; QAR-0003 &gt; OFT-0008 &gt; KIT-0019 &gt; PRT-0060</x:v>
      </x:c>
      <x:c r="I156"/>
    </x:row>
    <x:row r="157">
      <x:c r="A157" s="63" t="n">
        <x:v>4</x:v>
      </x:c>
      <x:c r="B157" s="63" t="str">
        <x:v>KIT-0019</x:v>
      </x:c>
      <x:c r="C157" s="63" t="str">
        <x:v>MAT-0007</x:v>
      </x:c>
      <x:c r="D157" s="63" t="str">
        <x:v>Gunflint</x:v>
      </x:c>
      <x:c r="E157" s="63" t="n">
        <x:v>4</x:v>
      </x:c>
      <x:c r="F157" s="63" t="n">
        <x:v>300</x:v>
      </x:c>
      <x:c r="G157" s="54" t="str">
        <x:v>RECOVERED</x:v>
      </x:c>
      <x:c r="H157" s="54" t="str">
        <x:v>QAR-0001 &gt; QAR-0003 &gt; OFT-0008 &gt; KIT-0019 &gt; MAT-0007</x:v>
      </x:c>
      <x:c r="I157"/>
    </x:row>
    <x:row r="158">
      <x:c r="A158" s="63" t="n">
        <x:v>4</x:v>
      </x:c>
      <x:c r="B158" s="63" t="str">
        <x:v>KIT-0019</x:v>
      </x:c>
      <x:c r="C158" s="63" t="str">
        <x:v>MAT-0009</x:v>
      </x:c>
      <x:c r="D158" s="63" t="str">
        <x:v>Pistol Ball</x:v>
      </x:c>
      <x:c r="E158" s="63" t="n">
        <x:v>24</x:v>
      </x:c>
      <x:c r="F158" s="63" t="n">
        <x:v>1800</x:v>
      </x:c>
      <x:c r="G158" s="54" t="str">
        <x:v>RECOVERED</x:v>
      </x:c>
      <x:c r="H158" s="54" t="str">
        <x:v>QAR-0001 &gt; QAR-0003 &gt; OFT-0008 &gt; KIT-0019 &gt; MAT-0009</x:v>
      </x:c>
      <x:c r="I158"/>
    </x:row>
    <x:row r="159">
      <x:c r="A159" s="63" t="n">
        <x:v>4</x:v>
      </x:c>
      <x:c r="B159" s="63" t="str">
        <x:v>KIT-0019</x:v>
      </x:c>
      <x:c r="C159" s="63" t="str">
        <x:v>PRT-0061</x:v>
      </x:c>
      <x:c r="D159" s="63" t="str">
        <x:v>Personal Firearm Cleaning Tool</x:v>
      </x:c>
      <x:c r="E159" s="63" t="n">
        <x:v>1</x:v>
      </x:c>
      <x:c r="F159" s="63" t="n">
        <x:v>75</x:v>
      </x:c>
      <x:c r="G159" s="54" t="str">
        <x:v>RECONSTRUCTED</x:v>
      </x:c>
      <x:c r="H159" s="54" t="str">
        <x:v>QAR-0001 &gt; QAR-0003 &gt; OFT-0008 &gt; KIT-0019 &gt; PRT-0061</x:v>
      </x:c>
      <x:c r="I159"/>
    </x:row>
    <x:row r="160">
      <x:c r="A160" s="63" t="n">
        <x:v>3</x:v>
      </x:c>
      <x:c r="B160" s="63" t="str">
        <x:v>OFT-0008</x:v>
      </x:c>
      <x:c r="C160" s="63" t="str">
        <x:v>PRT-0056</x:v>
      </x:c>
      <x:c r="D160" s="63" t="str">
        <x:v>Boarding Cutlass</x:v>
      </x:c>
      <x:c r="E160" s="63" t="n">
        <x:v>150</x:v>
      </x:c>
      <x:c r="F160" s="63" t="n">
        <x:v>150</x:v>
      </x:c>
      <x:c r="G160" s="54" t="str">
        <x:v>RECOVERED</x:v>
      </x:c>
      <x:c r="H160" s="54" t="str">
        <x:v>QAR-0001 &gt; QAR-0003 &gt; OFT-0008 &gt; PRT-0056</x:v>
      </x:c>
      <x:c r="I160"/>
    </x:row>
    <x:row r="161">
      <x:c r="A161" s="63" t="n">
        <x:v>3</x:v>
      </x:c>
      <x:c r="B161" s="63" t="str">
        <x:v>OFT-0008</x:v>
      </x:c>
      <x:c r="C161" s="63" t="str">
        <x:v>PRT-0057</x:v>
      </x:c>
      <x:c r="D161" s="63" t="str">
        <x:v>Boarding Axe</x:v>
      </x:c>
      <x:c r="E161" s="63" t="n">
        <x:v>100</x:v>
      </x:c>
      <x:c r="F161" s="63" t="n">
        <x:v>100</x:v>
      </x:c>
      <x:c r="G161" s="54" t="str">
        <x:v>RECONSTRUCTED</x:v>
      </x:c>
      <x:c r="H161" s="54" t="str">
        <x:v>QAR-0001 &gt; QAR-0003 &gt; OFT-0008 &gt; PRT-0057</x:v>
      </x:c>
      <x:c r="I161"/>
    </x:row>
    <x:row r="162">
      <x:c r="A162" s="63" t="n">
        <x:v>3</x:v>
      </x:c>
      <x:c r="B162" s="63" t="str">
        <x:v>OFT-0008</x:v>
      </x:c>
      <x:c r="C162" s="63" t="str">
        <x:v>PRT-0058</x:v>
      </x:c>
      <x:c r="D162" s="63" t="str">
        <x:v>Boarding Pike</x:v>
      </x:c>
      <x:c r="E162" s="63" t="n">
        <x:v>60</x:v>
      </x:c>
      <x:c r="F162" s="63" t="n">
        <x:v>60</x:v>
      </x:c>
      <x:c r="G162" s="54" t="str">
        <x:v>RECONSTRUCTED</x:v>
      </x:c>
      <x:c r="H162" s="54" t="str">
        <x:v>QAR-0001 &gt; QAR-0003 &gt; OFT-0008 &gt; PRT-0058</x:v>
      </x:c>
      <x:c r="I162"/>
    </x:row>
    <x:row r="163">
      <x:c r="A163" s="63" t="n">
        <x:v>3</x:v>
      </x:c>
      <x:c r="B163" s="63" t="str">
        <x:v>OFT-0008</x:v>
      </x:c>
      <x:c r="C163" s="63" t="str">
        <x:v>ASM-0019</x:v>
      </x:c>
      <x:c r="D163" s="63" t="str">
        <x:v>Cast-Iron Hand Grenade</x:v>
      </x:c>
      <x:c r="E163" s="63" t="n">
        <x:v>24</x:v>
      </x:c>
      <x:c r="F163" s="63" t="n">
        <x:v>24</x:v>
      </x:c>
      <x:c r="G163" s="54" t="str">
        <x:v>RECOVERED</x:v>
      </x:c>
      <x:c r="H163" s="54" t="str">
        <x:v>QAR-0001 &gt; QAR-0003 &gt; OFT-0008 &gt; ASM-0019</x:v>
      </x:c>
      <x:c r="I163"/>
    </x:row>
    <x:row r="164">
      <x:c r="A164" s="63" t="n">
        <x:v>3</x:v>
      </x:c>
      <x:c r="B164" s="63" t="str">
        <x:v>OFT-0008</x:v>
      </x:c>
      <x:c r="C164" s="63" t="str">
        <x:v>PRT-0062</x:v>
      </x:c>
      <x:c r="D164" s="63" t="str">
        <x:v>Lead Bullet Mold</x:v>
      </x:c>
      <x:c r="E164" s="63" t="n">
        <x:v>8</x:v>
      </x:c>
      <x:c r="F164" s="63" t="n">
        <x:v>8</x:v>
      </x:c>
      <x:c r="G164" s="54" t="str">
        <x:v>RECOVERED</x:v>
      </x:c>
      <x:c r="H164" s="54" t="str">
        <x:v>QAR-0001 &gt; QAR-0003 &gt; OFT-0008 &gt; PRT-0062</x:v>
      </x:c>
      <x:c r="I164"/>
    </x:row>
    <x:row r="165">
      <x:c r="A165" s="63" t="n">
        <x:v>2</x:v>
      </x:c>
      <x:c r="B165" s="63" t="str">
        <x:v>QAR-0003</x:v>
      </x:c>
      <x:c r="C165" s="63" t="str">
        <x:v>KIT-0004</x:v>
      </x:c>
      <x:c r="D165" s="63" t="str">
        <x:v>Ordnance Spare Parts Chest</x:v>
      </x:c>
      <x:c r="E165" s="63" t="n">
        <x:v>1</x:v>
      </x:c>
      <x:c r="F165" s="63" t="n">
        <x:v>1</x:v>
      </x:c>
      <x:c r="G165" s="54" t="str">
        <x:v>RECONSTRUCTED</x:v>
      </x:c>
      <x:c r="H165" s="54" t="str">
        <x:v>QAR-0001 &gt; QAR-0003 &gt; KIT-0004</x:v>
      </x:c>
      <x:c r="I165"/>
    </x:row>
    <x:row r="166">
      <x:c r="A166" s="63" t="n">
        <x:v>3</x:v>
      </x:c>
      <x:c r="B166" s="63" t="str">
        <x:v>KIT-0004</x:v>
      </x:c>
      <x:c r="C166" s="63" t="str">
        <x:v>PRT-0029</x:v>
      </x:c>
      <x:c r="D166" s="63" t="str">
        <x:v>Gun Carriage Linchpin</x:v>
      </x:c>
      <x:c r="E166" s="63" t="n">
        <x:v>80</x:v>
      </x:c>
      <x:c r="F166" s="63" t="n">
        <x:v>80</x:v>
      </x:c>
      <x:c r="G166" s="54" t="str">
        <x:v>RECONSTRUCTED</x:v>
      </x:c>
      <x:c r="H166" s="54" t="str">
        <x:v>QAR-0001 &gt; QAR-0003 &gt; KIT-0004 &gt; PRT-0029</x:v>
      </x:c>
      <x:c r="I166"/>
    </x:row>
    <x:row r="167">
      <x:c r="A167" s="63" t="n">
        <x:v>3</x:v>
      </x:c>
      <x:c r="B167" s="63" t="str">
        <x:v>KIT-0004</x:v>
      </x:c>
      <x:c r="C167" s="63" t="str">
        <x:v>ASM-0011</x:v>
      </x:c>
      <x:c r="D167" s="63" t="str">
        <x:v>Gun Carriage Capsquare and Key</x:v>
      </x:c>
      <x:c r="E167" s="63" t="n">
        <x:v>12</x:v>
      </x:c>
      <x:c r="F167" s="63" t="n">
        <x:v>12</x:v>
      </x:c>
      <x:c r="G167" s="54" t="str">
        <x:v>RECONSTRUCTED</x:v>
      </x:c>
      <x:c r="H167" s="54" t="str">
        <x:v>QAR-0001 &gt; QAR-0003 &gt; KIT-0004 &gt; ASM-0011</x:v>
      </x:c>
      <x:c r="I167"/>
    </x:row>
    <x:row r="168">
      <x:c r="A168" s="63" t="n">
        <x:v>3</x:v>
      </x:c>
      <x:c r="B168" s="63" t="str">
        <x:v>KIT-0004</x:v>
      </x:c>
      <x:c r="C168" s="63" t="str">
        <x:v>PRT-0038</x:v>
      </x:c>
      <x:c r="D168" s="63" t="str">
        <x:v>Six-Pounder Wooden Tompion</x:v>
      </x:c>
      <x:c r="E168" s="63" t="n">
        <x:v>8</x:v>
      </x:c>
      <x:c r="F168" s="63" t="n">
        <x:v>8</x:v>
      </x:c>
      <x:c r="G168" s="54" t="str">
        <x:v>RECOVERED</x:v>
      </x:c>
      <x:c r="H168" s="54" t="str">
        <x:v>QAR-0001 &gt; QAR-0003 &gt; KIT-0004 &gt; PRT-0038</x:v>
      </x:c>
      <x:c r="I168"/>
    </x:row>
    <x:row r="169">
      <x:c r="A169" s="63" t="n">
        <x:v>3</x:v>
      </x:c>
      <x:c r="B169" s="63" t="str">
        <x:v>KIT-0004</x:v>
      </x:c>
      <x:c r="C169" s="63" t="str">
        <x:v>PRT-0039</x:v>
      </x:c>
      <x:c r="D169" s="63" t="str">
        <x:v>Four-Pounder Wooden Tompion</x:v>
      </x:c>
      <x:c r="E169" s="63" t="n">
        <x:v>8</x:v>
      </x:c>
      <x:c r="F169" s="63" t="n">
        <x:v>8</x:v>
      </x:c>
      <x:c r="G169" s="54" t="str">
        <x:v>RECOVERED</x:v>
      </x:c>
      <x:c r="H169" s="54" t="str">
        <x:v>QAR-0001 &gt; QAR-0003 &gt; KIT-0004 &gt; PRT-0039</x:v>
      </x:c>
      <x:c r="I169"/>
    </x:row>
    <x:row r="170">
      <x:c r="A170" s="63" t="n">
        <x:v>3</x:v>
      </x:c>
      <x:c r="B170" s="63" t="str">
        <x:v>KIT-0004</x:v>
      </x:c>
      <x:c r="C170" s="63" t="str">
        <x:v>PRT-0037</x:v>
      </x:c>
      <x:c r="D170" s="63" t="str">
        <x:v>Lead Touch-Hole Apron</x:v>
      </x:c>
      <x:c r="E170" s="63" t="n">
        <x:v>12</x:v>
      </x:c>
      <x:c r="F170" s="63" t="n">
        <x:v>12</x:v>
      </x:c>
      <x:c r="G170" s="54" t="str">
        <x:v>RECOVERED</x:v>
      </x:c>
      <x:c r="H170" s="54" t="str">
        <x:v>QAR-0001 &gt; QAR-0003 &gt; KIT-0004 &gt; PRT-0037</x:v>
      </x:c>
      <x:c r="I170"/>
    </x:row>
    <x:row r="171">
      <x:c r="A171" s="63" t="n">
        <x:v>3</x:v>
      </x:c>
      <x:c r="B171" s="63" t="str">
        <x:v>KIT-0004</x:v>
      </x:c>
      <x:c r="C171" s="63" t="str">
        <x:v>PRT-0045</x:v>
      </x:c>
      <x:c r="D171" s="63" t="str">
        <x:v>Five-Inch Single Block</x:v>
      </x:c>
      <x:c r="E171" s="63" t="n">
        <x:v>16</x:v>
      </x:c>
      <x:c r="F171" s="63" t="n">
        <x:v>16</x:v>
      </x:c>
      <x:c r="G171" s="54" t="str">
        <x:v>RECONSTRUCTED</x:v>
      </x:c>
      <x:c r="H171" s="54" t="str">
        <x:v>QAR-0001 &gt; QAR-0003 &gt; KIT-0004 &gt; PRT-0045</x:v>
      </x:c>
      <x:c r="I171"/>
    </x:row>
    <x:row r="172">
      <x:c r="A172" s="63" t="n">
        <x:v>3</x:v>
      </x:c>
      <x:c r="B172" s="63" t="str">
        <x:v>KIT-0004</x:v>
      </x:c>
      <x:c r="C172" s="63" t="str">
        <x:v>PRT-0048</x:v>
      </x:c>
      <x:c r="D172" s="63" t="str">
        <x:v>Iron Tackle Hook</x:v>
      </x:c>
      <x:c r="E172" s="63" t="n">
        <x:v>24</x:v>
      </x:c>
      <x:c r="F172" s="63" t="n">
        <x:v>24</x:v>
      </x:c>
      <x:c r="G172" s="54" t="str">
        <x:v>RECONSTRUCTED</x:v>
      </x:c>
      <x:c r="H172" s="54" t="str">
        <x:v>QAR-0001 &gt; QAR-0003 &gt; KIT-0004 &gt; PRT-0048</x:v>
      </x:c>
      <x:c r="I172"/>
    </x:row>
    <x:row r="173">
      <x:c r="A173" s="63" t="n">
        <x:v>1</x:v>
      </x:c>
      <x:c r="B173" s="63" t="str">
        <x:v>QAR-0001</x:v>
      </x:c>
      <x:c r="C173" s="63" t="str">
        <x:v>QAR-0004</x:v>
      </x:c>
      <x:c r="D173" s="63" t="str">
        <x:v>Masts, Rigging and Sail Outfit</x:v>
      </x:c>
      <x:c r="E173" s="63" t="n">
        <x:v>1</x:v>
      </x:c>
      <x:c r="F173" s="63" t="n">
        <x:v>1</x:v>
      </x:c>
      <x:c r="G173" s="54" t="str">
        <x:v>RECONSTRUCTED</x:v>
      </x:c>
      <x:c r="H173" s="54" t="str">
        <x:v>QAR-0001 &gt; QAR-0004</x:v>
      </x:c>
      <x:c r="I173"/>
    </x:row>
    <x:row r="174">
      <x:c r="A174" s="63" t="n">
        <x:v>2</x:v>
      </x:c>
      <x:c r="B174" s="63" t="str">
        <x:v>QAR-0004</x:v>
      </x:c>
      <x:c r="C174" s="63" t="str">
        <x:v>QAR-0025</x:v>
      </x:c>
      <x:c r="D174" s="63" t="str">
        <x:v>Mast and Spar Outfit</x:v>
      </x:c>
      <x:c r="E174" s="63" t="n">
        <x:v>1</x:v>
      </x:c>
      <x:c r="F174" s="63" t="n">
        <x:v>1</x:v>
      </x:c>
      <x:c r="G174" s="54" t="str">
        <x:v>RECONSTRUCTED</x:v>
      </x:c>
      <x:c r="H174" s="54" t="str">
        <x:v>QAR-0001 &gt; QAR-0004 &gt; QAR-0025</x:v>
      </x:c>
      <x:c r="I174"/>
    </x:row>
    <x:row r="175">
      <x:c r="A175" s="63" t="n">
        <x:v>3</x:v>
      </x:c>
      <x:c r="B175" s="63" t="str">
        <x:v>QAR-0025</x:v>
      </x:c>
      <x:c r="C175" s="63" t="str">
        <x:v>QAR-0027</x:v>
      </x:c>
      <x:c r="D175" s="63" t="str">
        <x:v>Main Mast Assembly</x:v>
      </x:c>
      <x:c r="E175" s="63" t="n">
        <x:v>1</x:v>
      </x:c>
      <x:c r="F175" s="63" t="n">
        <x:v>1</x:v>
      </x:c>
      <x:c r="G175" s="54" t="str">
        <x:v>RECONSTRUCTED</x:v>
      </x:c>
      <x:c r="H175" s="54" t="str">
        <x:v>QAR-0001 &gt; QAR-0004 &gt; QAR-0025 &gt; QAR-0027</x:v>
      </x:c>
      <x:c r="I175"/>
    </x:row>
    <x:row r="176">
      <x:c r="A176" s="63" t="n">
        <x:v>3</x:v>
      </x:c>
      <x:c r="B176" s="63" t="str">
        <x:v>QAR-0025</x:v>
      </x:c>
      <x:c r="C176" s="63" t="str">
        <x:v>QAR-0028</x:v>
      </x:c>
      <x:c r="D176" s="63" t="str">
        <x:v>Fore Mast Assembly</x:v>
      </x:c>
      <x:c r="E176" s="63" t="n">
        <x:v>1</x:v>
      </x:c>
      <x:c r="F176" s="63" t="n">
        <x:v>1</x:v>
      </x:c>
      <x:c r="G176" s="54" t="str">
        <x:v>RECONSTRUCTED</x:v>
      </x:c>
      <x:c r="H176" s="54" t="str">
        <x:v>QAR-0001 &gt; QAR-0004 &gt; QAR-0025 &gt; QAR-0028</x:v>
      </x:c>
      <x:c r="I176"/>
    </x:row>
    <x:row r="177">
      <x:c r="A177" s="63" t="n">
        <x:v>3</x:v>
      </x:c>
      <x:c r="B177" s="63" t="str">
        <x:v>QAR-0025</x:v>
      </x:c>
      <x:c r="C177" s="63" t="str">
        <x:v>QAR-0029</x:v>
      </x:c>
      <x:c r="D177" s="63" t="str">
        <x:v>Mizzen Mast Assembly</x:v>
      </x:c>
      <x:c r="E177" s="63" t="n">
        <x:v>1</x:v>
      </x:c>
      <x:c r="F177" s="63" t="n">
        <x:v>1</x:v>
      </x:c>
      <x:c r="G177" s="54" t="str">
        <x:v>RECONSTRUCTED</x:v>
      </x:c>
      <x:c r="H177" s="54" t="str">
        <x:v>QAR-0001 &gt; QAR-0004 &gt; QAR-0025 &gt; QAR-0029</x:v>
      </x:c>
      <x:c r="I177"/>
    </x:row>
    <x:row r="178">
      <x:c r="A178" s="63" t="n">
        <x:v>3</x:v>
      </x:c>
      <x:c r="B178" s="63" t="str">
        <x:v>QAR-0025</x:v>
      </x:c>
      <x:c r="C178" s="63" t="str">
        <x:v>QAR-0030</x:v>
      </x:c>
      <x:c r="D178" s="63" t="str">
        <x:v>Bowsprit Assembly</x:v>
      </x:c>
      <x:c r="E178" s="63" t="n">
        <x:v>1</x:v>
      </x:c>
      <x:c r="F178" s="63" t="n">
        <x:v>1</x:v>
      </x:c>
      <x:c r="G178" s="54" t="str">
        <x:v>RECONSTRUCTED</x:v>
      </x:c>
      <x:c r="H178" s="54" t="str">
        <x:v>QAR-0001 &gt; QAR-0004 &gt; QAR-0025 &gt; QAR-0030</x:v>
      </x:c>
      <x:c r="I178"/>
    </x:row>
    <x:row r="179">
      <x:c r="A179" s="63" t="n">
        <x:v>3</x:v>
      </x:c>
      <x:c r="B179" s="63" t="str">
        <x:v>QAR-0025</x:v>
      </x:c>
      <x:c r="C179" s="63" t="str">
        <x:v>QAR-0031</x:v>
      </x:c>
      <x:c r="D179" s="63" t="str">
        <x:v>Main Yard</x:v>
      </x:c>
      <x:c r="E179" s="63" t="n">
        <x:v>1</x:v>
      </x:c>
      <x:c r="F179" s="63" t="n">
        <x:v>1</x:v>
      </x:c>
      <x:c r="G179" s="54" t="str">
        <x:v>RECONSTRUCTED</x:v>
      </x:c>
      <x:c r="H179" s="54" t="str">
        <x:v>QAR-0001 &gt; QAR-0004 &gt; QAR-0025 &gt; QAR-0031</x:v>
      </x:c>
      <x:c r="I179"/>
    </x:row>
    <x:row r="180">
      <x:c r="A180" s="63" t="n">
        <x:v>3</x:v>
      </x:c>
      <x:c r="B180" s="63" t="str">
        <x:v>QAR-0025</x:v>
      </x:c>
      <x:c r="C180" s="63" t="str">
        <x:v>QAR-0032</x:v>
      </x:c>
      <x:c r="D180" s="63" t="str">
        <x:v>Main Topsail Yard</x:v>
      </x:c>
      <x:c r="E180" s="63" t="n">
        <x:v>1</x:v>
      </x:c>
      <x:c r="F180" s="63" t="n">
        <x:v>1</x:v>
      </x:c>
      <x:c r="G180" s="54" t="str">
        <x:v>RECONSTRUCTED</x:v>
      </x:c>
      <x:c r="H180" s="54" t="str">
        <x:v>QAR-0001 &gt; QAR-0004 &gt; QAR-0025 &gt; QAR-0032</x:v>
      </x:c>
      <x:c r="I180"/>
    </x:row>
    <x:row r="181">
      <x:c r="A181" s="63" t="n">
        <x:v>3</x:v>
      </x:c>
      <x:c r="B181" s="63" t="str">
        <x:v>QAR-0025</x:v>
      </x:c>
      <x:c r="C181" s="63" t="str">
        <x:v>QAR-0033</x:v>
      </x:c>
      <x:c r="D181" s="63" t="str">
        <x:v>Main Topgallant Yard</x:v>
      </x:c>
      <x:c r="E181" s="63" t="n">
        <x:v>1</x:v>
      </x:c>
      <x:c r="F181" s="63" t="n">
        <x:v>1</x:v>
      </x:c>
      <x:c r="G181" s="54" t="str">
        <x:v>RECONSTRUCTED</x:v>
      </x:c>
      <x:c r="H181" s="54" t="str">
        <x:v>QAR-0001 &gt; QAR-0004 &gt; QAR-0025 &gt; QAR-0033</x:v>
      </x:c>
      <x:c r="I181"/>
    </x:row>
    <x:row r="182">
      <x:c r="A182" s="63" t="n">
        <x:v>3</x:v>
      </x:c>
      <x:c r="B182" s="63" t="str">
        <x:v>QAR-0025</x:v>
      </x:c>
      <x:c r="C182" s="63" t="str">
        <x:v>QAR-0034</x:v>
      </x:c>
      <x:c r="D182" s="63" t="str">
        <x:v>Fore Yard</x:v>
      </x:c>
      <x:c r="E182" s="63" t="n">
        <x:v>1</x:v>
      </x:c>
      <x:c r="F182" s="63" t="n">
        <x:v>1</x:v>
      </x:c>
      <x:c r="G182" s="54" t="str">
        <x:v>RECONSTRUCTED</x:v>
      </x:c>
      <x:c r="H182" s="54" t="str">
        <x:v>QAR-0001 &gt; QAR-0004 &gt; QAR-0025 &gt; QAR-0034</x:v>
      </x:c>
      <x:c r="I182"/>
    </x:row>
    <x:row r="183">
      <x:c r="A183" s="63" t="n">
        <x:v>3</x:v>
      </x:c>
      <x:c r="B183" s="63" t="str">
        <x:v>QAR-0025</x:v>
      </x:c>
      <x:c r="C183" s="63" t="str">
        <x:v>QAR-0035</x:v>
      </x:c>
      <x:c r="D183" s="63" t="str">
        <x:v>Fore Topsail Yard</x:v>
      </x:c>
      <x:c r="E183" s="63" t="n">
        <x:v>1</x:v>
      </x:c>
      <x:c r="F183" s="63" t="n">
        <x:v>1</x:v>
      </x:c>
      <x:c r="G183" s="54" t="str">
        <x:v>RECONSTRUCTED</x:v>
      </x:c>
      <x:c r="H183" s="54" t="str">
        <x:v>QAR-0001 &gt; QAR-0004 &gt; QAR-0025 &gt; QAR-0035</x:v>
      </x:c>
      <x:c r="I183"/>
    </x:row>
    <x:row r="184">
      <x:c r="A184" s="63" t="n">
        <x:v>3</x:v>
      </x:c>
      <x:c r="B184" s="63" t="str">
        <x:v>QAR-0025</x:v>
      </x:c>
      <x:c r="C184" s="63" t="str">
        <x:v>QAR-0036</x:v>
      </x:c>
      <x:c r="D184" s="63" t="str">
        <x:v>Fore Topgallant Yard</x:v>
      </x:c>
      <x:c r="E184" s="63" t="n">
        <x:v>1</x:v>
      </x:c>
      <x:c r="F184" s="63" t="n">
        <x:v>1</x:v>
      </x:c>
      <x:c r="G184" s="54" t="str">
        <x:v>RECONSTRUCTED</x:v>
      </x:c>
      <x:c r="H184" s="54" t="str">
        <x:v>QAR-0001 &gt; QAR-0004 &gt; QAR-0025 &gt; QAR-0036</x:v>
      </x:c>
      <x:c r="I184"/>
    </x:row>
    <x:row r="185">
      <x:c r="A185" s="63" t="n">
        <x:v>3</x:v>
      </x:c>
      <x:c r="B185" s="63" t="str">
        <x:v>QAR-0025</x:v>
      </x:c>
      <x:c r="C185" s="63" t="str">
        <x:v>QAR-0037</x:v>
      </x:c>
      <x:c r="D185" s="63" t="str">
        <x:v>Mizzen Yard</x:v>
      </x:c>
      <x:c r="E185" s="63" t="n">
        <x:v>1</x:v>
      </x:c>
      <x:c r="F185" s="63" t="n">
        <x:v>1</x:v>
      </x:c>
      <x:c r="G185" s="54" t="str">
        <x:v>RECONSTRUCTED</x:v>
      </x:c>
      <x:c r="H185" s="54" t="str">
        <x:v>QAR-0001 &gt; QAR-0004 &gt; QAR-0025 &gt; QAR-0037</x:v>
      </x:c>
      <x:c r="I185"/>
    </x:row>
    <x:row r="186">
      <x:c r="A186" s="63" t="n">
        <x:v>3</x:v>
      </x:c>
      <x:c r="B186" s="63" t="str">
        <x:v>QAR-0025</x:v>
      </x:c>
      <x:c r="C186" s="63" t="str">
        <x:v>QAR-0038</x:v>
      </x:c>
      <x:c r="D186" s="63" t="str">
        <x:v>Spritsail Yard</x:v>
      </x:c>
      <x:c r="E186" s="63" t="n">
        <x:v>1</x:v>
      </x:c>
      <x:c r="F186" s="63" t="n">
        <x:v>1</x:v>
      </x:c>
      <x:c r="G186" s="54" t="str">
        <x:v>RECONSTRUCTED</x:v>
      </x:c>
      <x:c r="H186" s="54" t="str">
        <x:v>QAR-0001 &gt; QAR-0004 &gt; QAR-0025 &gt; QAR-0038</x:v>
      </x:c>
      <x:c r="I186"/>
    </x:row>
    <x:row r="187">
      <x:c r="A187" s="63" t="n">
        <x:v>2</x:v>
      </x:c>
      <x:c r="B187" s="63" t="str">
        <x:v>QAR-0004</x:v>
      </x:c>
      <x:c r="C187" s="63" t="str">
        <x:v>OFT-0009</x:v>
      </x:c>
      <x:c r="D187" s="63" t="str">
        <x:v>Standing Rigging Outfit</x:v>
      </x:c>
      <x:c r="E187" s="63" t="n">
        <x:v>1</x:v>
      </x:c>
      <x:c r="F187" s="63" t="n">
        <x:v>1</x:v>
      </x:c>
      <x:c r="G187" s="54" t="str">
        <x:v>RECONSTRUCTED</x:v>
      </x:c>
      <x:c r="H187" s="54" t="str">
        <x:v>QAR-0001 &gt; QAR-0004 &gt; OFT-0009</x:v>
      </x:c>
      <x:c r="I187"/>
    </x:row>
    <x:row r="188">
      <x:c r="A188" s="63" t="n">
        <x:v>3</x:v>
      </x:c>
      <x:c r="B188" s="63" t="str">
        <x:v>OFT-0009</x:v>
      </x:c>
      <x:c r="C188" s="63" t="str">
        <x:v>ASM-0020</x:v>
      </x:c>
      <x:c r="D188" s="63" t="str">
        <x:v>Main Shroud Pair</x:v>
      </x:c>
      <x:c r="E188" s="63" t="n">
        <x:v>6</x:v>
      </x:c>
      <x:c r="F188" s="63" t="n">
        <x:v>6</x:v>
      </x:c>
      <x:c r="G188" s="54" t="str">
        <x:v>RECONSTRUCTED</x:v>
      </x:c>
      <x:c r="H188" s="54" t="str">
        <x:v>QAR-0001 &gt; QAR-0004 &gt; OFT-0009 &gt; ASM-0020</x:v>
      </x:c>
      <x:c r="I188"/>
    </x:row>
    <x:row r="189">
      <x:c r="A189" s="63" t="n">
        <x:v>3</x:v>
      </x:c>
      <x:c r="B189" s="63" t="str">
        <x:v>OFT-0009</x:v>
      </x:c>
      <x:c r="C189" s="63" t="str">
        <x:v>ASM-0021</x:v>
      </x:c>
      <x:c r="D189" s="63" t="str">
        <x:v>Fore Shroud Pair</x:v>
      </x:c>
      <x:c r="E189" s="63" t="n">
        <x:v>5</x:v>
      </x:c>
      <x:c r="F189" s="63" t="n">
        <x:v>5</x:v>
      </x:c>
      <x:c r="G189" s="54" t="str">
        <x:v>RECONSTRUCTED</x:v>
      </x:c>
      <x:c r="H189" s="54" t="str">
        <x:v>QAR-0001 &gt; QAR-0004 &gt; OFT-0009 &gt; ASM-0021</x:v>
      </x:c>
      <x:c r="I189"/>
    </x:row>
    <x:row r="190">
      <x:c r="A190" s="63" t="n">
        <x:v>3</x:v>
      </x:c>
      <x:c r="B190" s="63" t="str">
        <x:v>OFT-0009</x:v>
      </x:c>
      <x:c r="C190" s="63" t="str">
        <x:v>ASM-0022</x:v>
      </x:c>
      <x:c r="D190" s="63" t="str">
        <x:v>Mizzen Shroud Pair</x:v>
      </x:c>
      <x:c r="E190" s="63" t="n">
        <x:v>4</x:v>
      </x:c>
      <x:c r="F190" s="63" t="n">
        <x:v>4</x:v>
      </x:c>
      <x:c r="G190" s="54" t="str">
        <x:v>RECONSTRUCTED</x:v>
      </x:c>
      <x:c r="H190" s="54" t="str">
        <x:v>QAR-0001 &gt; QAR-0004 &gt; OFT-0009 &gt; ASM-0022</x:v>
      </x:c>
      <x:c r="I190"/>
    </x:row>
    <x:row r="191">
      <x:c r="A191" s="63" t="n">
        <x:v>3</x:v>
      </x:c>
      <x:c r="B191" s="63" t="str">
        <x:v>OFT-0009</x:v>
      </x:c>
      <x:c r="C191" s="63" t="str">
        <x:v>PRT-0063</x:v>
      </x:c>
      <x:c r="D191" s="63" t="str">
        <x:v>Main Stay</x:v>
      </x:c>
      <x:c r="E191" s="63" t="n">
        <x:v>2</x:v>
      </x:c>
      <x:c r="F191" s="63" t="n">
        <x:v>2</x:v>
      </x:c>
      <x:c r="G191" s="54" t="str">
        <x:v>RECONSTRUCTED</x:v>
      </x:c>
      <x:c r="H191" s="54" t="str">
        <x:v>QAR-0001 &gt; QAR-0004 &gt; OFT-0009 &gt; PRT-0063</x:v>
      </x:c>
      <x:c r="I191"/>
    </x:row>
    <x:row r="192">
      <x:c r="A192" s="63" t="n">
        <x:v>3</x:v>
      </x:c>
      <x:c r="B192" s="63" t="str">
        <x:v>OFT-0009</x:v>
      </x:c>
      <x:c r="C192" s="63" t="str">
        <x:v>PRT-0064</x:v>
      </x:c>
      <x:c r="D192" s="63" t="str">
        <x:v>Fore Stay</x:v>
      </x:c>
      <x:c r="E192" s="63" t="n">
        <x:v>2</x:v>
      </x:c>
      <x:c r="F192" s="63" t="n">
        <x:v>2</x:v>
      </x:c>
      <x:c r="G192" s="54" t="str">
        <x:v>RECONSTRUCTED</x:v>
      </x:c>
      <x:c r="H192" s="54" t="str">
        <x:v>QAR-0001 &gt; QAR-0004 &gt; OFT-0009 &gt; PRT-0064</x:v>
      </x:c>
      <x:c r="I192"/>
    </x:row>
    <x:row r="193">
      <x:c r="A193" s="63" t="n">
        <x:v>3</x:v>
      </x:c>
      <x:c r="B193" s="63" t="str">
        <x:v>OFT-0009</x:v>
      </x:c>
      <x:c r="C193" s="63" t="str">
        <x:v>PRT-0065</x:v>
      </x:c>
      <x:c r="D193" s="63" t="str">
        <x:v>Mizzen Stay</x:v>
      </x:c>
      <x:c r="E193" s="63" t="n">
        <x:v>1</x:v>
      </x:c>
      <x:c r="F193" s="63" t="n">
        <x:v>1</x:v>
      </x:c>
      <x:c r="G193" s="54" t="str">
        <x:v>RECONSTRUCTED</x:v>
      </x:c>
      <x:c r="H193" s="54" t="str">
        <x:v>QAR-0001 &gt; QAR-0004 &gt; OFT-0009 &gt; PRT-0065</x:v>
      </x:c>
      <x:c r="I193"/>
    </x:row>
    <x:row r="194">
      <x:c r="A194" s="63" t="n">
        <x:v>3</x:v>
      </x:c>
      <x:c r="B194" s="63" t="str">
        <x:v>OFT-0009</x:v>
      </x:c>
      <x:c r="C194" s="63" t="str">
        <x:v>PRT-0066</x:v>
      </x:c>
      <x:c r="D194" s="63" t="str">
        <x:v>Running Backstay</x:v>
      </x:c>
      <x:c r="E194" s="63" t="n">
        <x:v>8</x:v>
      </x:c>
      <x:c r="F194" s="63" t="n">
        <x:v>8</x:v>
      </x:c>
      <x:c r="G194" s="54" t="str">
        <x:v>RECONSTRUCTED</x:v>
      </x:c>
      <x:c r="H194" s="54" t="str">
        <x:v>QAR-0001 &gt; QAR-0004 &gt; OFT-0009 &gt; PRT-0066</x:v>
      </x:c>
      <x:c r="I194"/>
    </x:row>
    <x:row r="195">
      <x:c r="A195" s="63" t="n">
        <x:v>3</x:v>
      </x:c>
      <x:c r="B195" s="63" t="str">
        <x:v>OFT-0009</x:v>
      </x:c>
      <x:c r="C195" s="63" t="str">
        <x:v>PRT-0067</x:v>
      </x:c>
      <x:c r="D195" s="63" t="str">
        <x:v>Ratline Cordage, 200 ft Coil</x:v>
      </x:c>
      <x:c r="E195" s="63" t="n">
        <x:v>24</x:v>
      </x:c>
      <x:c r="F195" s="63" t="n">
        <x:v>24</x:v>
      </x:c>
      <x:c r="G195" s="54" t="str">
        <x:v>RECONSTRUCTED</x:v>
      </x:c>
      <x:c r="H195" s="54" t="str">
        <x:v>QAR-0001 &gt; QAR-0004 &gt; OFT-0009 &gt; PRT-0067</x:v>
      </x:c>
      <x:c r="I195"/>
    </x:row>
    <x:row r="196">
      <x:c r="A196" s="63" t="n">
        <x:v>3</x:v>
      </x:c>
      <x:c r="B196" s="63" t="str">
        <x:v>OFT-0009</x:v>
      </x:c>
      <x:c r="C196" s="63" t="str">
        <x:v>PRT-0068</x:v>
      </x:c>
      <x:c r="D196" s="63" t="str">
        <x:v>Large Deadeye</x:v>
      </x:c>
      <x:c r="E196" s="63" t="n">
        <x:v>48</x:v>
      </x:c>
      <x:c r="F196" s="63" t="n">
        <x:v>48</x:v>
      </x:c>
      <x:c r="G196" s="54" t="str">
        <x:v>RECONSTRUCTED</x:v>
      </x:c>
      <x:c r="H196" s="54" t="str">
        <x:v>QAR-0001 &gt; QAR-0004 &gt; OFT-0009 &gt; PRT-0068</x:v>
      </x:c>
      <x:c r="I196"/>
    </x:row>
    <x:row r="197">
      <x:c r="A197" s="63" t="n">
        <x:v>3</x:v>
      </x:c>
      <x:c r="B197" s="63" t="str">
        <x:v>OFT-0009</x:v>
      </x:c>
      <x:c r="C197" s="63" t="str">
        <x:v>PRT-0069</x:v>
      </x:c>
      <x:c r="D197" s="63" t="str">
        <x:v>Medium Deadeye</x:v>
      </x:c>
      <x:c r="E197" s="63" t="n">
        <x:v>32</x:v>
      </x:c>
      <x:c r="F197" s="63" t="n">
        <x:v>32</x:v>
      </x:c>
      <x:c r="G197" s="54" t="str">
        <x:v>RECONSTRUCTED</x:v>
      </x:c>
      <x:c r="H197" s="54" t="str">
        <x:v>QAR-0001 &gt; QAR-0004 &gt; OFT-0009 &gt; PRT-0069</x:v>
      </x:c>
      <x:c r="I197"/>
    </x:row>
    <x:row r="198">
      <x:c r="A198" s="63" t="n">
        <x:v>3</x:v>
      </x:c>
      <x:c r="B198" s="63" t="str">
        <x:v>OFT-0009</x:v>
      </x:c>
      <x:c r="C198" s="63" t="str">
        <x:v>PRT-0070</x:v>
      </x:c>
      <x:c r="D198" s="63" t="str">
        <x:v>Deadeye Lanyard, 50 ft</x:v>
      </x:c>
      <x:c r="E198" s="63" t="n">
        <x:v>80</x:v>
      </x:c>
      <x:c r="F198" s="63" t="n">
        <x:v>80</x:v>
      </x:c>
      <x:c r="G198" s="54" t="str">
        <x:v>RECONSTRUCTED</x:v>
      </x:c>
      <x:c r="H198" s="54" t="str">
        <x:v>QAR-0001 &gt; QAR-0004 &gt; OFT-0009 &gt; PRT-0070</x:v>
      </x:c>
      <x:c r="I198"/>
    </x:row>
    <x:row r="199">
      <x:c r="A199" s="63" t="n">
        <x:v>3</x:v>
      </x:c>
      <x:c r="B199" s="63" t="str">
        <x:v>OFT-0009</x:v>
      </x:c>
      <x:c r="C199" s="63" t="str">
        <x:v>PRT-0071</x:v>
      </x:c>
      <x:c r="D199" s="63" t="str">
        <x:v>Iron Chainplate</x:v>
      </x:c>
      <x:c r="E199" s="63" t="n">
        <x:v>40</x:v>
      </x:c>
      <x:c r="F199" s="63" t="n">
        <x:v>40</x:v>
      </x:c>
      <x:c r="G199" s="54" t="str">
        <x:v>RECONSTRUCTED</x:v>
      </x:c>
      <x:c r="H199" s="54" t="str">
        <x:v>QAR-0001 &gt; QAR-0004 &gt; OFT-0009 &gt; PRT-0071</x:v>
      </x:c>
      <x:c r="I199"/>
    </x:row>
    <x:row r="200">
      <x:c r="A200" s="63" t="n">
        <x:v>2</x:v>
      </x:c>
      <x:c r="B200" s="63" t="str">
        <x:v>QAR-0004</x:v>
      </x:c>
      <x:c r="C200" s="63" t="str">
        <x:v>OFT-0010</x:v>
      </x:c>
      <x:c r="D200" s="63" t="str">
        <x:v>Running Rigging Outfit</x:v>
      </x:c>
      <x:c r="E200" s="63" t="n">
        <x:v>1</x:v>
      </x:c>
      <x:c r="F200" s="63" t="n">
        <x:v>1</x:v>
      </x:c>
      <x:c r="G200" s="54" t="str">
        <x:v>RECONSTRUCTED</x:v>
      </x:c>
      <x:c r="H200" s="54" t="str">
        <x:v>QAR-0001 &gt; QAR-0004 &gt; OFT-0010</x:v>
      </x:c>
      <x:c r="I200"/>
    </x:row>
    <x:row r="201">
      <x:c r="A201" s="63" t="n">
        <x:v>3</x:v>
      </x:c>
      <x:c r="B201" s="63" t="str">
        <x:v>OFT-0010</x:v>
      </x:c>
      <x:c r="C201" s="63" t="str">
        <x:v>PRT-0072</x:v>
      </x:c>
      <x:c r="D201" s="63" t="str">
        <x:v>Large Halyard, 200 ft</x:v>
      </x:c>
      <x:c r="E201" s="63" t="n">
        <x:v>6</x:v>
      </x:c>
      <x:c r="F201" s="63" t="n">
        <x:v>6</x:v>
      </x:c>
      <x:c r="G201" s="54" t="str">
        <x:v>RECONSTRUCTED</x:v>
      </x:c>
      <x:c r="H201" s="54" t="str">
        <x:v>QAR-0001 &gt; QAR-0004 &gt; OFT-0010 &gt; PRT-0072</x:v>
      </x:c>
      <x:c r="I201"/>
    </x:row>
    <x:row r="202">
      <x:c r="A202" s="63" t="n">
        <x:v>3</x:v>
      </x:c>
      <x:c r="B202" s="63" t="str">
        <x:v>OFT-0010</x:v>
      </x:c>
      <x:c r="C202" s="63" t="str">
        <x:v>PRT-0073</x:v>
      </x:c>
      <x:c r="D202" s="63" t="str">
        <x:v>Medium Halyard, 160 ft</x:v>
      </x:c>
      <x:c r="E202" s="63" t="n">
        <x:v>10</x:v>
      </x:c>
      <x:c r="F202" s="63" t="n">
        <x:v>10</x:v>
      </x:c>
      <x:c r="G202" s="54" t="str">
        <x:v>RECONSTRUCTED</x:v>
      </x:c>
      <x:c r="H202" s="54" t="str">
        <x:v>QAR-0001 &gt; QAR-0004 &gt; OFT-0010 &gt; PRT-0073</x:v>
      </x:c>
      <x:c r="I202"/>
    </x:row>
    <x:row r="203">
      <x:c r="A203" s="63" t="n">
        <x:v>3</x:v>
      </x:c>
      <x:c r="B203" s="63" t="str">
        <x:v>OFT-0010</x:v>
      </x:c>
      <x:c r="C203" s="63" t="str">
        <x:v>PRT-0074</x:v>
      </x:c>
      <x:c r="D203" s="63" t="str">
        <x:v>Large Sail Sheet, 180 ft</x:v>
      </x:c>
      <x:c r="E203" s="63" t="n">
        <x:v>8</x:v>
      </x:c>
      <x:c r="F203" s="63" t="n">
        <x:v>8</x:v>
      </x:c>
      <x:c r="G203" s="54" t="str">
        <x:v>RECONSTRUCTED</x:v>
      </x:c>
      <x:c r="H203" s="54" t="str">
        <x:v>QAR-0001 &gt; QAR-0004 &gt; OFT-0010 &gt; PRT-0074</x:v>
      </x:c>
      <x:c r="I203"/>
    </x:row>
    <x:row r="204">
      <x:c r="A204" s="63" t="n">
        <x:v>3</x:v>
      </x:c>
      <x:c r="B204" s="63" t="str">
        <x:v>OFT-0010</x:v>
      </x:c>
      <x:c r="C204" s="63" t="str">
        <x:v>PRT-0075</x:v>
      </x:c>
      <x:c r="D204" s="63" t="str">
        <x:v>Medium Sail Sheet, 140 ft</x:v>
      </x:c>
      <x:c r="E204" s="63" t="n">
        <x:v>18</x:v>
      </x:c>
      <x:c r="F204" s="63" t="n">
        <x:v>18</x:v>
      </x:c>
      <x:c r="G204" s="54" t="str">
        <x:v>RECONSTRUCTED</x:v>
      </x:c>
      <x:c r="H204" s="54" t="str">
        <x:v>QAR-0001 &gt; QAR-0004 &gt; OFT-0010 &gt; PRT-0075</x:v>
      </x:c>
      <x:c r="I204"/>
    </x:row>
    <x:row r="205">
      <x:c r="A205" s="63" t="n">
        <x:v>3</x:v>
      </x:c>
      <x:c r="B205" s="63" t="str">
        <x:v>OFT-0010</x:v>
      </x:c>
      <x:c r="C205" s="63" t="str">
        <x:v>PRT-0076</x:v>
      </x:c>
      <x:c r="D205" s="63" t="str">
        <x:v>Yard Brace, 150 ft</x:v>
      </x:c>
      <x:c r="E205" s="63" t="n">
        <x:v>20</x:v>
      </x:c>
      <x:c r="F205" s="63" t="n">
        <x:v>20</x:v>
      </x:c>
      <x:c r="G205" s="54" t="str">
        <x:v>RECONSTRUCTED</x:v>
      </x:c>
      <x:c r="H205" s="54" t="str">
        <x:v>QAR-0001 &gt; QAR-0004 &gt; OFT-0010 &gt; PRT-0076</x:v>
      </x:c>
      <x:c r="I205"/>
    </x:row>
    <x:row r="206">
      <x:c r="A206" s="63" t="n">
        <x:v>3</x:v>
      </x:c>
      <x:c r="B206" s="63" t="str">
        <x:v>OFT-0010</x:v>
      </x:c>
      <x:c r="C206" s="63" t="str">
        <x:v>PRT-0077</x:v>
      </x:c>
      <x:c r="D206" s="63" t="str">
        <x:v>Yard Lift, 120 ft</x:v>
      </x:c>
      <x:c r="E206" s="63" t="n">
        <x:v>16</x:v>
      </x:c>
      <x:c r="F206" s="63" t="n">
        <x:v>16</x:v>
      </x:c>
      <x:c r="G206" s="54" t="str">
        <x:v>RECONSTRUCTED</x:v>
      </x:c>
      <x:c r="H206" s="54" t="str">
        <x:v>QAR-0001 &gt; QAR-0004 &gt; OFT-0010 &gt; PRT-0077</x:v>
      </x:c>
      <x:c r="I206"/>
    </x:row>
    <x:row r="207">
      <x:c r="A207" s="63" t="n">
        <x:v>3</x:v>
      </x:c>
      <x:c r="B207" s="63" t="str">
        <x:v>OFT-0010</x:v>
      </x:c>
      <x:c r="C207" s="63" t="str">
        <x:v>PRT-0078</x:v>
      </x:c>
      <x:c r="D207" s="63" t="str">
        <x:v>Clewline, 100 ft</x:v>
      </x:c>
      <x:c r="E207" s="63" t="n">
        <x:v>20</x:v>
      </x:c>
      <x:c r="F207" s="63" t="n">
        <x:v>20</x:v>
      </x:c>
      <x:c r="G207" s="54" t="str">
        <x:v>RECONSTRUCTED</x:v>
      </x:c>
      <x:c r="H207" s="54" t="str">
        <x:v>QAR-0001 &gt; QAR-0004 &gt; OFT-0010 &gt; PRT-0078</x:v>
      </x:c>
      <x:c r="I207"/>
    </x:row>
    <x:row r="208">
      <x:c r="A208" s="63" t="n">
        <x:v>3</x:v>
      </x:c>
      <x:c r="B208" s="63" t="str">
        <x:v>OFT-0010</x:v>
      </x:c>
      <x:c r="C208" s="63" t="str">
        <x:v>PRT-0079</x:v>
      </x:c>
      <x:c r="D208" s="63" t="str">
        <x:v>Buntline, 100 ft</x:v>
      </x:c>
      <x:c r="E208" s="63" t="n">
        <x:v>28</x:v>
      </x:c>
      <x:c r="F208" s="63" t="n">
        <x:v>28</x:v>
      </x:c>
      <x:c r="G208" s="54" t="str">
        <x:v>RECONSTRUCTED</x:v>
      </x:c>
      <x:c r="H208" s="54" t="str">
        <x:v>QAR-0001 &gt; QAR-0004 &gt; OFT-0010 &gt; PRT-0079</x:v>
      </x:c>
      <x:c r="I208"/>
    </x:row>
    <x:row r="209">
      <x:c r="A209" s="63" t="n">
        <x:v>3</x:v>
      </x:c>
      <x:c r="B209" s="63" t="str">
        <x:v>OFT-0010</x:v>
      </x:c>
      <x:c r="C209" s="63" t="str">
        <x:v>PRT-0080</x:v>
      </x:c>
      <x:c r="D209" s="63" t="str">
        <x:v>Course Tack, 100 ft</x:v>
      </x:c>
      <x:c r="E209" s="63" t="n">
        <x:v>8</x:v>
      </x:c>
      <x:c r="F209" s="63" t="n">
        <x:v>8</x:v>
      </x:c>
      <x:c r="G209" s="54" t="str">
        <x:v>RECONSTRUCTED</x:v>
      </x:c>
      <x:c r="H209" s="54" t="str">
        <x:v>QAR-0001 &gt; QAR-0004 &gt; OFT-0010 &gt; PRT-0080</x:v>
      </x:c>
      <x:c r="I209"/>
    </x:row>
    <x:row r="210">
      <x:c r="A210" s="63" t="n">
        <x:v>2</x:v>
      </x:c>
      <x:c r="B210" s="63" t="str">
        <x:v>QAR-0004</x:v>
      </x:c>
      <x:c r="C210" s="63" t="str">
        <x:v>QAR-0026</x:v>
      </x:c>
      <x:c r="D210" s="63" t="str">
        <x:v>Complete Sail Inventory</x:v>
      </x:c>
      <x:c r="E210" s="63" t="n">
        <x:v>1</x:v>
      </x:c>
      <x:c r="F210" s="63" t="n">
        <x:v>1</x:v>
      </x:c>
      <x:c r="G210" s="54" t="str">
        <x:v>RECONSTRUCTED</x:v>
      </x:c>
      <x:c r="H210" s="54" t="str">
        <x:v>QAR-0001 &gt; QAR-0004 &gt; QAR-0026</x:v>
      </x:c>
      <x:c r="I210"/>
    </x:row>
    <x:row r="211">
      <x:c r="A211" s="63" t="n">
        <x:v>3</x:v>
      </x:c>
      <x:c r="B211" s="63" t="str">
        <x:v>QAR-0026</x:v>
      </x:c>
      <x:c r="C211" s="63" t="str">
        <x:v>QAR-0039</x:v>
      </x:c>
      <x:c r="D211" s="63" t="str">
        <x:v>Main Course Sail</x:v>
      </x:c>
      <x:c r="E211" s="63" t="n">
        <x:v>2</x:v>
      </x:c>
      <x:c r="F211" s="63" t="n">
        <x:v>2</x:v>
      </x:c>
      <x:c r="G211" s="54" t="str">
        <x:v>RECONSTRUCTED</x:v>
      </x:c>
      <x:c r="H211" s="54" t="str">
        <x:v>QAR-0001 &gt; QAR-0004 &gt; QAR-0026 &gt; QAR-0039</x:v>
      </x:c>
      <x:c r="I211"/>
    </x:row>
    <x:row r="212">
      <x:c r="A212" s="63" t="n">
        <x:v>3</x:v>
      </x:c>
      <x:c r="B212" s="63" t="str">
        <x:v>QAR-0026</x:v>
      </x:c>
      <x:c r="C212" s="63" t="str">
        <x:v>QAR-0040</x:v>
      </x:c>
      <x:c r="D212" s="63" t="str">
        <x:v>Main Topsail</x:v>
      </x:c>
      <x:c r="E212" s="63" t="n">
        <x:v>2</x:v>
      </x:c>
      <x:c r="F212" s="63" t="n">
        <x:v>2</x:v>
      </x:c>
      <x:c r="G212" s="54" t="str">
        <x:v>RECONSTRUCTED</x:v>
      </x:c>
      <x:c r="H212" s="54" t="str">
        <x:v>QAR-0001 &gt; QAR-0004 &gt; QAR-0026 &gt; QAR-0040</x:v>
      </x:c>
      <x:c r="I212"/>
    </x:row>
    <x:row r="213">
      <x:c r="A213" s="63" t="n">
        <x:v>3</x:v>
      </x:c>
      <x:c r="B213" s="63" t="str">
        <x:v>QAR-0026</x:v>
      </x:c>
      <x:c r="C213" s="63" t="str">
        <x:v>QAR-0041</x:v>
      </x:c>
      <x:c r="D213" s="63" t="str">
        <x:v>Main Topgallant Sail</x:v>
      </x:c>
      <x:c r="E213" s="63" t="n">
        <x:v>1</x:v>
      </x:c>
      <x:c r="F213" s="63" t="n">
        <x:v>1</x:v>
      </x:c>
      <x:c r="G213" s="54" t="str">
        <x:v>RECONSTRUCTED</x:v>
      </x:c>
      <x:c r="H213" s="54" t="str">
        <x:v>QAR-0001 &gt; QAR-0004 &gt; QAR-0026 &gt; QAR-0041</x:v>
      </x:c>
      <x:c r="I213"/>
    </x:row>
    <x:row r="214">
      <x:c r="A214" s="63" t="n">
        <x:v>3</x:v>
      </x:c>
      <x:c r="B214" s="63" t="str">
        <x:v>QAR-0026</x:v>
      </x:c>
      <x:c r="C214" s="63" t="str">
        <x:v>QAR-0042</x:v>
      </x:c>
      <x:c r="D214" s="63" t="str">
        <x:v>Fore Course Sail</x:v>
      </x:c>
      <x:c r="E214" s="63" t="n">
        <x:v>2</x:v>
      </x:c>
      <x:c r="F214" s="63" t="n">
        <x:v>2</x:v>
      </x:c>
      <x:c r="G214" s="54" t="str">
        <x:v>RECONSTRUCTED</x:v>
      </x:c>
      <x:c r="H214" s="54" t="str">
        <x:v>QAR-0001 &gt; QAR-0004 &gt; QAR-0026 &gt; QAR-0042</x:v>
      </x:c>
      <x:c r="I214"/>
    </x:row>
    <x:row r="215">
      <x:c r="A215" s="63" t="n">
        <x:v>3</x:v>
      </x:c>
      <x:c r="B215" s="63" t="str">
        <x:v>QAR-0026</x:v>
      </x:c>
      <x:c r="C215" s="63" t="str">
        <x:v>QAR-0043</x:v>
      </x:c>
      <x:c r="D215" s="63" t="str">
        <x:v>Fore Topsail</x:v>
      </x:c>
      <x:c r="E215" s="63" t="n">
        <x:v>2</x:v>
      </x:c>
      <x:c r="F215" s="63" t="n">
        <x:v>2</x:v>
      </x:c>
      <x:c r="G215" s="54" t="str">
        <x:v>RECONSTRUCTED</x:v>
      </x:c>
      <x:c r="H215" s="54" t="str">
        <x:v>QAR-0001 &gt; QAR-0004 &gt; QAR-0026 &gt; QAR-0043</x:v>
      </x:c>
      <x:c r="I215"/>
    </x:row>
    <x:row r="216">
      <x:c r="A216" s="63" t="n">
        <x:v>3</x:v>
      </x:c>
      <x:c r="B216" s="63" t="str">
        <x:v>QAR-0026</x:v>
      </x:c>
      <x:c r="C216" s="63" t="str">
        <x:v>QAR-0044</x:v>
      </x:c>
      <x:c r="D216" s="63" t="str">
        <x:v>Fore Topgallant Sail</x:v>
      </x:c>
      <x:c r="E216" s="63" t="n">
        <x:v>1</x:v>
      </x:c>
      <x:c r="F216" s="63" t="n">
        <x:v>1</x:v>
      </x:c>
      <x:c r="G216" s="54" t="str">
        <x:v>RECONSTRUCTED</x:v>
      </x:c>
      <x:c r="H216" s="54" t="str">
        <x:v>QAR-0001 &gt; QAR-0004 &gt; QAR-0026 &gt; QAR-0044</x:v>
      </x:c>
      <x:c r="I216"/>
    </x:row>
    <x:row r="217">
      <x:c r="A217" s="63" t="n">
        <x:v>3</x:v>
      </x:c>
      <x:c r="B217" s="63" t="str">
        <x:v>QAR-0026</x:v>
      </x:c>
      <x:c r="C217" s="63" t="str">
        <x:v>QAR-0045</x:v>
      </x:c>
      <x:c r="D217" s="63" t="str">
        <x:v>Mizzen Sail</x:v>
      </x:c>
      <x:c r="E217" s="63" t="n">
        <x:v>1</x:v>
      </x:c>
      <x:c r="F217" s="63" t="n">
        <x:v>1</x:v>
      </x:c>
      <x:c r="G217" s="54" t="str">
        <x:v>RECONSTRUCTED</x:v>
      </x:c>
      <x:c r="H217" s="54" t="str">
        <x:v>QAR-0001 &gt; QAR-0004 &gt; QAR-0026 &gt; QAR-0045</x:v>
      </x:c>
      <x:c r="I217"/>
    </x:row>
    <x:row r="218">
      <x:c r="A218" s="63" t="n">
        <x:v>3</x:v>
      </x:c>
      <x:c r="B218" s="63" t="str">
        <x:v>QAR-0026</x:v>
      </x:c>
      <x:c r="C218" s="63" t="str">
        <x:v>QAR-0046</x:v>
      </x:c>
      <x:c r="D218" s="63" t="str">
        <x:v>Mizzen Topsail</x:v>
      </x:c>
      <x:c r="E218" s="63" t="n">
        <x:v>1</x:v>
      </x:c>
      <x:c r="F218" s="63" t="n">
        <x:v>1</x:v>
      </x:c>
      <x:c r="G218" s="54" t="str">
        <x:v>RECONSTRUCTED</x:v>
      </x:c>
      <x:c r="H218" s="54" t="str">
        <x:v>QAR-0001 &gt; QAR-0004 &gt; QAR-0026 &gt; QAR-0046</x:v>
      </x:c>
      <x:c r="I218"/>
    </x:row>
    <x:row r="219">
      <x:c r="A219" s="63" t="n">
        <x:v>3</x:v>
      </x:c>
      <x:c r="B219" s="63" t="str">
        <x:v>QAR-0026</x:v>
      </x:c>
      <x:c r="C219" s="63" t="str">
        <x:v>QAR-0047</x:v>
      </x:c>
      <x:c r="D219" s="63" t="str">
        <x:v>Spritsail</x:v>
      </x:c>
      <x:c r="E219" s="63" t="n">
        <x:v>1</x:v>
      </x:c>
      <x:c r="F219" s="63" t="n">
        <x:v>1</x:v>
      </x:c>
      <x:c r="G219" s="54" t="str">
        <x:v>RECONSTRUCTED</x:v>
      </x:c>
      <x:c r="H219" s="54" t="str">
        <x:v>QAR-0001 &gt; QAR-0004 &gt; QAR-0026 &gt; QAR-0047</x:v>
      </x:c>
      <x:c r="I219"/>
    </x:row>
    <x:row r="220">
      <x:c r="A220" s="63" t="n">
        <x:v>3</x:v>
      </x:c>
      <x:c r="B220" s="63" t="str">
        <x:v>QAR-0026</x:v>
      </x:c>
      <x:c r="C220" s="63" t="str">
        <x:v>QAR-0048</x:v>
      </x:c>
      <x:c r="D220" s="63" t="str">
        <x:v>Spritsail Topsail</x:v>
      </x:c>
      <x:c r="E220" s="63" t="n">
        <x:v>1</x:v>
      </x:c>
      <x:c r="F220" s="63" t="n">
        <x:v>1</x:v>
      </x:c>
      <x:c r="G220" s="54" t="str">
        <x:v>RECONSTRUCTED</x:v>
      </x:c>
      <x:c r="H220" s="54" t="str">
        <x:v>QAR-0001 &gt; QAR-0004 &gt; QAR-0026 &gt; QAR-0048</x:v>
      </x:c>
      <x:c r="I220"/>
    </x:row>
    <x:row r="221">
      <x:c r="A221" s="63" t="n">
        <x:v>3</x:v>
      </x:c>
      <x:c r="B221" s="63" t="str">
        <x:v>QAR-0026</x:v>
      </x:c>
      <x:c r="C221" s="63" t="str">
        <x:v>QAR-0049</x:v>
      </x:c>
      <x:c r="D221" s="63" t="str">
        <x:v>Main Staysail</x:v>
      </x:c>
      <x:c r="E221" s="63" t="n">
        <x:v>1</x:v>
      </x:c>
      <x:c r="F221" s="63" t="n">
        <x:v>1</x:v>
      </x:c>
      <x:c r="G221" s="54" t="str">
        <x:v>RECONSTRUCTED</x:v>
      </x:c>
      <x:c r="H221" s="54" t="str">
        <x:v>QAR-0001 &gt; QAR-0004 &gt; QAR-0026 &gt; QAR-0049</x:v>
      </x:c>
      <x:c r="I221"/>
    </x:row>
    <x:row r="222">
      <x:c r="A222" s="63" t="n">
        <x:v>3</x:v>
      </x:c>
      <x:c r="B222" s="63" t="str">
        <x:v>QAR-0026</x:v>
      </x:c>
      <x:c r="C222" s="63" t="str">
        <x:v>QAR-0050</x:v>
      </x:c>
      <x:c r="D222" s="63" t="str">
        <x:v>Fore Staysail</x:v>
      </x:c>
      <x:c r="E222" s="63" t="n">
        <x:v>1</x:v>
      </x:c>
      <x:c r="F222" s="63" t="n">
        <x:v>1</x:v>
      </x:c>
      <x:c r="G222" s="54" t="str">
        <x:v>RECONSTRUCTED</x:v>
      </x:c>
      <x:c r="H222" s="54" t="str">
        <x:v>QAR-0001 &gt; QAR-0004 &gt; QAR-0026 &gt; QAR-0050</x:v>
      </x:c>
      <x:c r="I222"/>
    </x:row>
    <x:row r="223">
      <x:c r="A223" s="63" t="n">
        <x:v>3</x:v>
      </x:c>
      <x:c r="B223" s="63" t="str">
        <x:v>QAR-0026</x:v>
      </x:c>
      <x:c r="C223" s="63" t="str">
        <x:v>QAR-0051</x:v>
      </x:c>
      <x:c r="D223" s="63" t="str">
        <x:v>Jib</x:v>
      </x:c>
      <x:c r="E223" s="63" t="n">
        <x:v>1</x:v>
      </x:c>
      <x:c r="F223" s="63" t="n">
        <x:v>1</x:v>
      </x:c>
      <x:c r="G223" s="54" t="str">
        <x:v>RECONSTRUCTED</x:v>
      </x:c>
      <x:c r="H223" s="54" t="str">
        <x:v>QAR-0001 &gt; QAR-0004 &gt; QAR-0026 &gt; QAR-0051</x:v>
      </x:c>
      <x:c r="I223"/>
    </x:row>
    <x:row r="224">
      <x:c r="A224" s="63" t="n">
        <x:v>3</x:v>
      </x:c>
      <x:c r="B224" s="63" t="str">
        <x:v>QAR-0026</x:v>
      </x:c>
      <x:c r="C224" s="63" t="str">
        <x:v>QAR-0052</x:v>
      </x:c>
      <x:c r="D224" s="63" t="str">
        <x:v>Flying Jib</x:v>
      </x:c>
      <x:c r="E224" s="63" t="n">
        <x:v>1</x:v>
      </x:c>
      <x:c r="F224" s="63" t="n">
        <x:v>1</x:v>
      </x:c>
      <x:c r="G224" s="54" t="str">
        <x:v>RECONSTRUCTED</x:v>
      </x:c>
      <x:c r="H224" s="54" t="str">
        <x:v>QAR-0001 &gt; QAR-0004 &gt; QAR-0026 &gt; QAR-0052</x:v>
      </x:c>
      <x:c r="I224"/>
    </x:row>
    <x:row r="225">
      <x:c r="A225" s="63" t="n">
        <x:v>2</x:v>
      </x:c>
      <x:c r="B225" s="63" t="str">
        <x:v>QAR-0004</x:v>
      </x:c>
      <x:c r="C225" s="63" t="str">
        <x:v>OFT-0011</x:v>
      </x:c>
      <x:c r="D225" s="63" t="str">
        <x:v>Blocks, Deadeyes and Rigging Hardware</x:v>
      </x:c>
      <x:c r="E225" s="63" t="n">
        <x:v>1</x:v>
      </x:c>
      <x:c r="F225" s="63" t="n">
        <x:v>1</x:v>
      </x:c>
      <x:c r="G225" s="54" t="str">
        <x:v>RECONSTRUCTED</x:v>
      </x:c>
      <x:c r="H225" s="54" t="str">
        <x:v>QAR-0001 &gt; QAR-0004 &gt; OFT-0011</x:v>
      </x:c>
      <x:c r="I225"/>
    </x:row>
    <x:row r="226">
      <x:c r="A226" s="63" t="n">
        <x:v>3</x:v>
      </x:c>
      <x:c r="B226" s="63" t="str">
        <x:v>OFT-0011</x:v>
      </x:c>
      <x:c r="C226" s="63" t="str">
        <x:v>PRT-0081</x:v>
      </x:c>
      <x:c r="D226" s="63" t="str">
        <x:v>Small Single Block</x:v>
      </x:c>
      <x:c r="E226" s="63" t="n">
        <x:v>80</x:v>
      </x:c>
      <x:c r="F226" s="63" t="n">
        <x:v>80</x:v>
      </x:c>
      <x:c r="G226" s="54" t="str">
        <x:v>RECONSTRUCTED</x:v>
      </x:c>
      <x:c r="H226" s="54" t="str">
        <x:v>QAR-0001 &gt; QAR-0004 &gt; OFT-0011 &gt; PRT-0081</x:v>
      </x:c>
      <x:c r="I226"/>
    </x:row>
    <x:row r="227">
      <x:c r="A227" s="63" t="n">
        <x:v>3</x:v>
      </x:c>
      <x:c r="B227" s="63" t="str">
        <x:v>OFT-0011</x:v>
      </x:c>
      <x:c r="C227" s="63" t="str">
        <x:v>PRT-0082</x:v>
      </x:c>
      <x:c r="D227" s="63" t="str">
        <x:v>Medium Single Block</x:v>
      </x:c>
      <x:c r="E227" s="63" t="n">
        <x:v>64</x:v>
      </x:c>
      <x:c r="F227" s="63" t="n">
        <x:v>64</x:v>
      </x:c>
      <x:c r="G227" s="54" t="str">
        <x:v>RECONSTRUCTED</x:v>
      </x:c>
      <x:c r="H227" s="54" t="str">
        <x:v>QAR-0001 &gt; QAR-0004 &gt; OFT-0011 &gt; PRT-0082</x:v>
      </x:c>
      <x:c r="I227"/>
    </x:row>
    <x:row r="228">
      <x:c r="A228" s="63" t="n">
        <x:v>3</x:v>
      </x:c>
      <x:c r="B228" s="63" t="str">
        <x:v>OFT-0011</x:v>
      </x:c>
      <x:c r="C228" s="63" t="str">
        <x:v>PRT-0083</x:v>
      </x:c>
      <x:c r="D228" s="63" t="str">
        <x:v>Large Single Block</x:v>
      </x:c>
      <x:c r="E228" s="63" t="n">
        <x:v>32</x:v>
      </x:c>
      <x:c r="F228" s="63" t="n">
        <x:v>32</x:v>
      </x:c>
      <x:c r="G228" s="54" t="str">
        <x:v>RECONSTRUCTED</x:v>
      </x:c>
      <x:c r="H228" s="54" t="str">
        <x:v>QAR-0001 &gt; QAR-0004 &gt; OFT-0011 &gt; PRT-0083</x:v>
      </x:c>
      <x:c r="I228"/>
    </x:row>
    <x:row r="229">
      <x:c r="A229" s="63" t="n">
        <x:v>3</x:v>
      </x:c>
      <x:c r="B229" s="63" t="str">
        <x:v>OFT-0011</x:v>
      </x:c>
      <x:c r="C229" s="63" t="str">
        <x:v>PRT-0084</x:v>
      </x:c>
      <x:c r="D229" s="63" t="str">
        <x:v>Medium Double Block</x:v>
      </x:c>
      <x:c r="E229" s="63" t="n">
        <x:v>32</x:v>
      </x:c>
      <x:c r="F229" s="63" t="n">
        <x:v>32</x:v>
      </x:c>
      <x:c r="G229" s="54" t="str">
        <x:v>RECONSTRUCTED</x:v>
      </x:c>
      <x:c r="H229" s="54" t="str">
        <x:v>QAR-0001 &gt; QAR-0004 &gt; OFT-0011 &gt; PRT-0084</x:v>
      </x:c>
      <x:c r="I229"/>
    </x:row>
    <x:row r="230">
      <x:c r="A230" s="63" t="n">
        <x:v>3</x:v>
      </x:c>
      <x:c r="B230" s="63" t="str">
        <x:v>OFT-0011</x:v>
      </x:c>
      <x:c r="C230" s="63" t="str">
        <x:v>PRT-0085</x:v>
      </x:c>
      <x:c r="D230" s="63" t="str">
        <x:v>Large Triple Block</x:v>
      </x:c>
      <x:c r="E230" s="63" t="n">
        <x:v>12</x:v>
      </x:c>
      <x:c r="F230" s="63" t="n">
        <x:v>12</x:v>
      </x:c>
      <x:c r="G230" s="54" t="str">
        <x:v>RECONSTRUCTED</x:v>
      </x:c>
      <x:c r="H230" s="54" t="str">
        <x:v>QAR-0001 &gt; QAR-0004 &gt; OFT-0011 &gt; PRT-0085</x:v>
      </x:c>
      <x:c r="I230"/>
    </x:row>
    <x:row r="231">
      <x:c r="A231" s="63" t="n">
        <x:v>3</x:v>
      </x:c>
      <x:c r="B231" s="63" t="str">
        <x:v>OFT-0011</x:v>
      </x:c>
      <x:c r="C231" s="63" t="str">
        <x:v>PRT-0086</x:v>
      </x:c>
      <x:c r="D231" s="63" t="str">
        <x:v>Iron Rigging Shackle</x:v>
      </x:c>
      <x:c r="E231" s="63" t="n">
        <x:v>48</x:v>
      </x:c>
      <x:c r="F231" s="63" t="n">
        <x:v>48</x:v>
      </x:c>
      <x:c r="G231" s="54" t="str">
        <x:v>RECONSTRUCTED</x:v>
      </x:c>
      <x:c r="H231" s="54" t="str">
        <x:v>QAR-0001 &gt; QAR-0004 &gt; OFT-0011 &gt; PRT-0086</x:v>
      </x:c>
      <x:c r="I231"/>
    </x:row>
    <x:row r="232">
      <x:c r="A232" s="63" t="n">
        <x:v>3</x:v>
      </x:c>
      <x:c r="B232" s="63" t="str">
        <x:v>OFT-0011</x:v>
      </x:c>
      <x:c r="C232" s="63" t="str">
        <x:v>PRT-0087</x:v>
      </x:c>
      <x:c r="D232" s="63" t="str">
        <x:v>Rope Thimble</x:v>
      </x:c>
      <x:c r="E232" s="63" t="n">
        <x:v>60</x:v>
      </x:c>
      <x:c r="F232" s="63" t="n">
        <x:v>60</x:v>
      </x:c>
      <x:c r="G232" s="54" t="str">
        <x:v>RECONSTRUCTED</x:v>
      </x:c>
      <x:c r="H232" s="54" t="str">
        <x:v>QAR-0001 &gt; QAR-0004 &gt; OFT-0011 &gt; PRT-0087</x:v>
      </x:c>
      <x:c r="I232"/>
    </x:row>
    <x:row r="233">
      <x:c r="A233" s="63" t="n">
        <x:v>1</x:v>
      </x:c>
      <x:c r="B233" s="63" t="str">
        <x:v>QAR-0001</x:v>
      </x:c>
      <x:c r="C233" s="63" t="str">
        <x:v>QAR-0005</x:v>
      </x:c>
      <x:c r="D233" s="63" t="str">
        <x:v>Ground Tackle and Mooring Outfit</x:v>
      </x:c>
      <x:c r="E233" s="63" t="n">
        <x:v>1</x:v>
      </x:c>
      <x:c r="F233" s="63" t="n">
        <x:v>1</x:v>
      </x:c>
      <x:c r="G233" s="54" t="str">
        <x:v>RECONSTRUCTED</x:v>
      </x:c>
      <x:c r="H233" s="54" t="str">
        <x:v>QAR-0001 &gt; QAR-0005</x:v>
      </x:c>
      <x:c r="I233"/>
    </x:row>
    <x:row r="234">
      <x:c r="A234" s="63" t="n">
        <x:v>2</x:v>
      </x:c>
      <x:c r="B234" s="63" t="str">
        <x:v>QAR-0005</x:v>
      </x:c>
      <x:c r="C234" s="63" t="str">
        <x:v>KIT-0020</x:v>
      </x:c>
      <x:c r="D234" s="63" t="str">
        <x:v>Bower Anchor Outfit</x:v>
      </x:c>
      <x:c r="E234" s="63" t="n">
        <x:v>2</x:v>
      </x:c>
      <x:c r="F234" s="63" t="n">
        <x:v>2</x:v>
      </x:c>
      <x:c r="G234" s="54" t="str">
        <x:v>RECONSTRUCTED</x:v>
      </x:c>
      <x:c r="H234" s="54" t="str">
        <x:v>QAR-0001 &gt; QAR-0005 &gt; KIT-0020</x:v>
      </x:c>
      <x:c r="I234"/>
    </x:row>
    <x:row r="235">
      <x:c r="A235" s="63" t="n">
        <x:v>3</x:v>
      </x:c>
      <x:c r="B235" s="63" t="str">
        <x:v>KIT-0020</x:v>
      </x:c>
      <x:c r="C235" s="63" t="str">
        <x:v>PRT-0088</x:v>
      </x:c>
      <x:c r="D235" s="63" t="str">
        <x:v>Bower Anchor</x:v>
      </x:c>
      <x:c r="E235" s="63" t="n">
        <x:v>1</x:v>
      </x:c>
      <x:c r="F235" s="63" t="n">
        <x:v>2</x:v>
      </x:c>
      <x:c r="G235" s="54" t="str">
        <x:v>RECONSTRUCTED</x:v>
      </x:c>
      <x:c r="H235" s="54" t="str">
        <x:v>QAR-0001 &gt; QAR-0005 &gt; KIT-0020 &gt; PRT-0088</x:v>
      </x:c>
      <x:c r="I235"/>
    </x:row>
    <x:row r="236">
      <x:c r="A236" s="63" t="n">
        <x:v>3</x:v>
      </x:c>
      <x:c r="B236" s="63" t="str">
        <x:v>KIT-0020</x:v>
      </x:c>
      <x:c r="C236" s="63" t="str">
        <x:v>PRT-0092</x:v>
      </x:c>
      <x:c r="D236" s="63" t="str">
        <x:v>Bower Cable, 600 ft</x:v>
      </x:c>
      <x:c r="E236" s="63" t="n">
        <x:v>1</x:v>
      </x:c>
      <x:c r="F236" s="63" t="n">
        <x:v>2</x:v>
      </x:c>
      <x:c r="G236" s="54" t="str">
        <x:v>RECONSTRUCTED</x:v>
      </x:c>
      <x:c r="H236" s="54" t="str">
        <x:v>QAR-0001 &gt; QAR-0005 &gt; KIT-0020 &gt; PRT-0092</x:v>
      </x:c>
      <x:c r="I236"/>
    </x:row>
    <x:row r="237">
      <x:c r="A237" s="63" t="n">
        <x:v>3</x:v>
      </x:c>
      <x:c r="B237" s="63" t="str">
        <x:v>KIT-0020</x:v>
      </x:c>
      <x:c r="C237" s="63" t="str">
        <x:v>ASM-0023</x:v>
      </x:c>
      <x:c r="D237" s="63" t="str">
        <x:v>Anchor Buoy</x:v>
      </x:c>
      <x:c r="E237" s="63" t="n">
        <x:v>1</x:v>
      </x:c>
      <x:c r="F237" s="63" t="n">
        <x:v>2</x:v>
      </x:c>
      <x:c r="G237" s="54" t="str">
        <x:v>RECONSTRUCTED</x:v>
      </x:c>
      <x:c r="H237" s="54" t="str">
        <x:v>QAR-0001 &gt; QAR-0005 &gt; KIT-0020 &gt; ASM-0023</x:v>
      </x:c>
      <x:c r="I237"/>
    </x:row>
    <x:row r="238">
      <x:c r="A238" s="63" t="n">
        <x:v>3</x:v>
      </x:c>
      <x:c r="B238" s="63" t="str">
        <x:v>KIT-0020</x:v>
      </x:c>
      <x:c r="C238" s="63" t="str">
        <x:v>PRT-0096</x:v>
      </x:c>
      <x:c r="D238" s="63" t="str">
        <x:v>Anchor Buoy Rope, 100 ft</x:v>
      </x:c>
      <x:c r="E238" s="63" t="n">
        <x:v>1</x:v>
      </x:c>
      <x:c r="F238" s="63" t="n">
        <x:v>2</x:v>
      </x:c>
      <x:c r="G238" s="54" t="str">
        <x:v>RECONSTRUCTED</x:v>
      </x:c>
      <x:c r="H238" s="54" t="str">
        <x:v>QAR-0001 &gt; QAR-0005 &gt; KIT-0020 &gt; PRT-0096</x:v>
      </x:c>
      <x:c r="I238"/>
    </x:row>
    <x:row r="239">
      <x:c r="A239" s="63" t="n">
        <x:v>3</x:v>
      </x:c>
      <x:c r="B239" s="63" t="str">
        <x:v>KIT-0020</x:v>
      </x:c>
      <x:c r="C239" s="63" t="str">
        <x:v>LBL-0005</x:v>
      </x:c>
      <x:c r="D239" s="63" t="str">
        <x:v>Safety Label - Team Lift / Heavy Tackle</x:v>
      </x:c>
      <x:c r="E239" s="63" t="n">
        <x:v>1</x:v>
      </x:c>
      <x:c r="F239" s="63" t="n">
        <x:v>2</x:v>
      </x:c>
      <x:c r="G239" s="54" t="str">
        <x:v>FICTIONAL</x:v>
      </x:c>
      <x:c r="H239" s="54" t="str">
        <x:v>QAR-0001 &gt; QAR-0005 &gt; KIT-0020 &gt; LBL-0005</x:v>
      </x:c>
      <x:c r="I239"/>
    </x:row>
    <x:row r="240">
      <x:c r="A240" s="63" t="n">
        <x:v>2</x:v>
      </x:c>
      <x:c r="B240" s="63" t="str">
        <x:v>QAR-0005</x:v>
      </x:c>
      <x:c r="C240" s="63" t="str">
        <x:v>KIT-0021</x:v>
      </x:c>
      <x:c r="D240" s="63" t="str">
        <x:v>Sheet Anchor Outfit</x:v>
      </x:c>
      <x:c r="E240" s="63" t="n">
        <x:v>1</x:v>
      </x:c>
      <x:c r="F240" s="63" t="n">
        <x:v>1</x:v>
      </x:c>
      <x:c r="G240" s="54" t="str">
        <x:v>RECONSTRUCTED</x:v>
      </x:c>
      <x:c r="H240" s="54" t="str">
        <x:v>QAR-0001 &gt; QAR-0005 &gt; KIT-0021</x:v>
      </x:c>
      <x:c r="I240"/>
    </x:row>
    <x:row r="241">
      <x:c r="A241" s="63" t="n">
        <x:v>3</x:v>
      </x:c>
      <x:c r="B241" s="63" t="str">
        <x:v>KIT-0021</x:v>
      </x:c>
      <x:c r="C241" s="63" t="str">
        <x:v>PRT-0089</x:v>
      </x:c>
      <x:c r="D241" s="63" t="str">
        <x:v>Sheet Anchor</x:v>
      </x:c>
      <x:c r="E241" s="63" t="n">
        <x:v>1</x:v>
      </x:c>
      <x:c r="F241" s="63" t="n">
        <x:v>1</x:v>
      </x:c>
      <x:c r="G241" s="54" t="str">
        <x:v>RECONSTRUCTED</x:v>
      </x:c>
      <x:c r="H241" s="54" t="str">
        <x:v>QAR-0001 &gt; QAR-0005 &gt; KIT-0021 &gt; PRT-0089</x:v>
      </x:c>
      <x:c r="I241"/>
    </x:row>
    <x:row r="242">
      <x:c r="A242" s="63" t="n">
        <x:v>3</x:v>
      </x:c>
      <x:c r="B242" s="63" t="str">
        <x:v>KIT-0021</x:v>
      </x:c>
      <x:c r="C242" s="63" t="str">
        <x:v>PRT-0093</x:v>
      </x:c>
      <x:c r="D242" s="63" t="str">
        <x:v>Sheet Cable, 600 ft</x:v>
      </x:c>
      <x:c r="E242" s="63" t="n">
        <x:v>1</x:v>
      </x:c>
      <x:c r="F242" s="63" t="n">
        <x:v>1</x:v>
      </x:c>
      <x:c r="G242" s="54" t="str">
        <x:v>RECONSTRUCTED</x:v>
      </x:c>
      <x:c r="H242" s="54" t="str">
        <x:v>QAR-0001 &gt; QAR-0005 &gt; KIT-0021 &gt; PRT-0093</x:v>
      </x:c>
      <x:c r="I242"/>
    </x:row>
    <x:row r="243">
      <x:c r="A243" s="63" t="n">
        <x:v>3</x:v>
      </x:c>
      <x:c r="B243" s="63" t="str">
        <x:v>KIT-0021</x:v>
      </x:c>
      <x:c r="C243" s="63" t="str">
        <x:v>ASM-0023</x:v>
      </x:c>
      <x:c r="D243" s="63" t="str">
        <x:v>Anchor Buoy</x:v>
      </x:c>
      <x:c r="E243" s="63" t="n">
        <x:v>1</x:v>
      </x:c>
      <x:c r="F243" s="63" t="n">
        <x:v>1</x:v>
      </x:c>
      <x:c r="G243" s="54" t="str">
        <x:v>RECONSTRUCTED</x:v>
      </x:c>
      <x:c r="H243" s="54" t="str">
        <x:v>QAR-0001 &gt; QAR-0005 &gt; KIT-0021 &gt; ASM-0023</x:v>
      </x:c>
      <x:c r="I243"/>
    </x:row>
    <x:row r="244">
      <x:c r="A244" s="63" t="n">
        <x:v>3</x:v>
      </x:c>
      <x:c r="B244" s="63" t="str">
        <x:v>KIT-0021</x:v>
      </x:c>
      <x:c r="C244" s="63" t="str">
        <x:v>PRT-0096</x:v>
      </x:c>
      <x:c r="D244" s="63" t="str">
        <x:v>Anchor Buoy Rope, 100 ft</x:v>
      </x:c>
      <x:c r="E244" s="63" t="n">
        <x:v>1</x:v>
      </x:c>
      <x:c r="F244" s="63" t="n">
        <x:v>1</x:v>
      </x:c>
      <x:c r="G244" s="54" t="str">
        <x:v>RECONSTRUCTED</x:v>
      </x:c>
      <x:c r="H244" s="54" t="str">
        <x:v>QAR-0001 &gt; QAR-0005 &gt; KIT-0021 &gt; PRT-0096</x:v>
      </x:c>
      <x:c r="I244"/>
    </x:row>
    <x:row r="245">
      <x:c r="A245" s="63" t="n">
        <x:v>3</x:v>
      </x:c>
      <x:c r="B245" s="63" t="str">
        <x:v>KIT-0021</x:v>
      </x:c>
      <x:c r="C245" s="63" t="str">
        <x:v>LBL-0005</x:v>
      </x:c>
      <x:c r="D245" s="63" t="str">
        <x:v>Safety Label - Team Lift / Heavy Tackle</x:v>
      </x:c>
      <x:c r="E245" s="63" t="n">
        <x:v>1</x:v>
      </x:c>
      <x:c r="F245" s="63" t="n">
        <x:v>1</x:v>
      </x:c>
      <x:c r="G245" s="54" t="str">
        <x:v>FICTIONAL</x:v>
      </x:c>
      <x:c r="H245" s="54" t="str">
        <x:v>QAR-0001 &gt; QAR-0005 &gt; KIT-0021 &gt; LBL-0005</x:v>
      </x:c>
      <x:c r="I245"/>
    </x:row>
    <x:row r="246">
      <x:c r="A246" s="63" t="n">
        <x:v>2</x:v>
      </x:c>
      <x:c r="B246" s="63" t="str">
        <x:v>QAR-0005</x:v>
      </x:c>
      <x:c r="C246" s="63" t="str">
        <x:v>KIT-0022</x:v>
      </x:c>
      <x:c r="D246" s="63" t="str">
        <x:v>Stream Anchor Outfit</x:v>
      </x:c>
      <x:c r="E246" s="63" t="n">
        <x:v>1</x:v>
      </x:c>
      <x:c r="F246" s="63" t="n">
        <x:v>1</x:v>
      </x:c>
      <x:c r="G246" s="54" t="str">
        <x:v>RECONSTRUCTED</x:v>
      </x:c>
      <x:c r="H246" s="54" t="str">
        <x:v>QAR-0001 &gt; QAR-0005 &gt; KIT-0022</x:v>
      </x:c>
      <x:c r="I246"/>
    </x:row>
    <x:row r="247">
      <x:c r="A247" s="63" t="n">
        <x:v>3</x:v>
      </x:c>
      <x:c r="B247" s="63" t="str">
        <x:v>KIT-0022</x:v>
      </x:c>
      <x:c r="C247" s="63" t="str">
        <x:v>PRT-0090</x:v>
      </x:c>
      <x:c r="D247" s="63" t="str">
        <x:v>Stream Anchor</x:v>
      </x:c>
      <x:c r="E247" s="63" t="n">
        <x:v>1</x:v>
      </x:c>
      <x:c r="F247" s="63" t="n">
        <x:v>1</x:v>
      </x:c>
      <x:c r="G247" s="54" t="str">
        <x:v>RECONSTRUCTED</x:v>
      </x:c>
      <x:c r="H247" s="54" t="str">
        <x:v>QAR-0001 &gt; QAR-0005 &gt; KIT-0022 &gt; PRT-0090</x:v>
      </x:c>
      <x:c r="I247"/>
    </x:row>
    <x:row r="248">
      <x:c r="A248" s="63" t="n">
        <x:v>3</x:v>
      </x:c>
      <x:c r="B248" s="63" t="str">
        <x:v>KIT-0022</x:v>
      </x:c>
      <x:c r="C248" s="63" t="str">
        <x:v>PRT-0094</x:v>
      </x:c>
      <x:c r="D248" s="63" t="str">
        <x:v>Stream Cable, 400 ft</x:v>
      </x:c>
      <x:c r="E248" s="63" t="n">
        <x:v>1</x:v>
      </x:c>
      <x:c r="F248" s="63" t="n">
        <x:v>1</x:v>
      </x:c>
      <x:c r="G248" s="54" t="str">
        <x:v>RECONSTRUCTED</x:v>
      </x:c>
      <x:c r="H248" s="54" t="str">
        <x:v>QAR-0001 &gt; QAR-0005 &gt; KIT-0022 &gt; PRT-0094</x:v>
      </x:c>
      <x:c r="I248"/>
    </x:row>
    <x:row r="249">
      <x:c r="A249" s="63" t="n">
        <x:v>3</x:v>
      </x:c>
      <x:c r="B249" s="63" t="str">
        <x:v>KIT-0022</x:v>
      </x:c>
      <x:c r="C249" s="63" t="str">
        <x:v>ASM-0023</x:v>
      </x:c>
      <x:c r="D249" s="63" t="str">
        <x:v>Anchor Buoy</x:v>
      </x:c>
      <x:c r="E249" s="63" t="n">
        <x:v>1</x:v>
      </x:c>
      <x:c r="F249" s="63" t="n">
        <x:v>1</x:v>
      </x:c>
      <x:c r="G249" s="54" t="str">
        <x:v>RECONSTRUCTED</x:v>
      </x:c>
      <x:c r="H249" s="54" t="str">
        <x:v>QAR-0001 &gt; QAR-0005 &gt; KIT-0022 &gt; ASM-0023</x:v>
      </x:c>
      <x:c r="I249"/>
    </x:row>
    <x:row r="250">
      <x:c r="A250" s="63" t="n">
        <x:v>3</x:v>
      </x:c>
      <x:c r="B250" s="63" t="str">
        <x:v>KIT-0022</x:v>
      </x:c>
      <x:c r="C250" s="63" t="str">
        <x:v>PRT-0096</x:v>
      </x:c>
      <x:c r="D250" s="63" t="str">
        <x:v>Anchor Buoy Rope, 100 ft</x:v>
      </x:c>
      <x:c r="E250" s="63" t="n">
        <x:v>1</x:v>
      </x:c>
      <x:c r="F250" s="63" t="n">
        <x:v>1</x:v>
      </x:c>
      <x:c r="G250" s="54" t="str">
        <x:v>RECONSTRUCTED</x:v>
      </x:c>
      <x:c r="H250" s="54" t="str">
        <x:v>QAR-0001 &gt; QAR-0005 &gt; KIT-0022 &gt; PRT-0096</x:v>
      </x:c>
      <x:c r="I250"/>
    </x:row>
    <x:row r="251">
      <x:c r="A251" s="63" t="n">
        <x:v>3</x:v>
      </x:c>
      <x:c r="B251" s="63" t="str">
        <x:v>KIT-0022</x:v>
      </x:c>
      <x:c r="C251" s="63" t="str">
        <x:v>LBL-0005</x:v>
      </x:c>
      <x:c r="D251" s="63" t="str">
        <x:v>Safety Label - Team Lift / Heavy Tackle</x:v>
      </x:c>
      <x:c r="E251" s="63" t="n">
        <x:v>1</x:v>
      </x:c>
      <x:c r="F251" s="63" t="n">
        <x:v>1</x:v>
      </x:c>
      <x:c r="G251" s="54" t="str">
        <x:v>FICTIONAL</x:v>
      </x:c>
      <x:c r="H251" s="54" t="str">
        <x:v>QAR-0001 &gt; QAR-0005 &gt; KIT-0022 &gt; LBL-0005</x:v>
      </x:c>
      <x:c r="I251"/>
    </x:row>
    <x:row r="252">
      <x:c r="A252" s="63" t="n">
        <x:v>2</x:v>
      </x:c>
      <x:c r="B252" s="63" t="str">
        <x:v>QAR-0005</x:v>
      </x:c>
      <x:c r="C252" s="63" t="str">
        <x:v>KIT-0023</x:v>
      </x:c>
      <x:c r="D252" s="63" t="str">
        <x:v>Kedge Anchor Outfit</x:v>
      </x:c>
      <x:c r="E252" s="63" t="n">
        <x:v>2</x:v>
      </x:c>
      <x:c r="F252" s="63" t="n">
        <x:v>2</x:v>
      </x:c>
      <x:c r="G252" s="54" t="str">
        <x:v>RECONSTRUCTED</x:v>
      </x:c>
      <x:c r="H252" s="54" t="str">
        <x:v>QAR-0001 &gt; QAR-0005 &gt; KIT-0023</x:v>
      </x:c>
      <x:c r="I252"/>
    </x:row>
    <x:row r="253">
      <x:c r="A253" s="63" t="n">
        <x:v>3</x:v>
      </x:c>
      <x:c r="B253" s="63" t="str">
        <x:v>KIT-0023</x:v>
      </x:c>
      <x:c r="C253" s="63" t="str">
        <x:v>PRT-0091</x:v>
      </x:c>
      <x:c r="D253" s="63" t="str">
        <x:v>Kedge Anchor</x:v>
      </x:c>
      <x:c r="E253" s="63" t="n">
        <x:v>1</x:v>
      </x:c>
      <x:c r="F253" s="63" t="n">
        <x:v>2</x:v>
      </x:c>
      <x:c r="G253" s="54" t="str">
        <x:v>RECONSTRUCTED</x:v>
      </x:c>
      <x:c r="H253" s="54" t="str">
        <x:v>QAR-0001 &gt; QAR-0005 &gt; KIT-0023 &gt; PRT-0091</x:v>
      </x:c>
      <x:c r="I253"/>
    </x:row>
    <x:row r="254">
      <x:c r="A254" s="63" t="n">
        <x:v>3</x:v>
      </x:c>
      <x:c r="B254" s="63" t="str">
        <x:v>KIT-0023</x:v>
      </x:c>
      <x:c r="C254" s="63" t="str">
        <x:v>PRT-0095</x:v>
      </x:c>
      <x:c r="D254" s="63" t="str">
        <x:v>Kedge Hawser, 300 ft</x:v>
      </x:c>
      <x:c r="E254" s="63" t="n">
        <x:v>1</x:v>
      </x:c>
      <x:c r="F254" s="63" t="n">
        <x:v>2</x:v>
      </x:c>
      <x:c r="G254" s="54" t="str">
        <x:v>RECONSTRUCTED</x:v>
      </x:c>
      <x:c r="H254" s="54" t="str">
        <x:v>QAR-0001 &gt; QAR-0005 &gt; KIT-0023 &gt; PRT-0095</x:v>
      </x:c>
      <x:c r="I254"/>
    </x:row>
    <x:row r="255">
      <x:c r="A255" s="63" t="n">
        <x:v>3</x:v>
      </x:c>
      <x:c r="B255" s="63" t="str">
        <x:v>KIT-0023</x:v>
      </x:c>
      <x:c r="C255" s="63" t="str">
        <x:v>ASM-0023</x:v>
      </x:c>
      <x:c r="D255" s="63" t="str">
        <x:v>Anchor Buoy</x:v>
      </x:c>
      <x:c r="E255" s="63" t="n">
        <x:v>1</x:v>
      </x:c>
      <x:c r="F255" s="63" t="n">
        <x:v>2</x:v>
      </x:c>
      <x:c r="G255" s="54" t="str">
        <x:v>RECONSTRUCTED</x:v>
      </x:c>
      <x:c r="H255" s="54" t="str">
        <x:v>QAR-0001 &gt; QAR-0005 &gt; KIT-0023 &gt; ASM-0023</x:v>
      </x:c>
      <x:c r="I255"/>
    </x:row>
    <x:row r="256">
      <x:c r="A256" s="63" t="n">
        <x:v>3</x:v>
      </x:c>
      <x:c r="B256" s="63" t="str">
        <x:v>KIT-0023</x:v>
      </x:c>
      <x:c r="C256" s="63" t="str">
        <x:v>PRT-0096</x:v>
      </x:c>
      <x:c r="D256" s="63" t="str">
        <x:v>Anchor Buoy Rope, 100 ft</x:v>
      </x:c>
      <x:c r="E256" s="63" t="n">
        <x:v>1</x:v>
      </x:c>
      <x:c r="F256" s="63" t="n">
        <x:v>2</x:v>
      </x:c>
      <x:c r="G256" s="54" t="str">
        <x:v>RECONSTRUCTED</x:v>
      </x:c>
      <x:c r="H256" s="54" t="str">
        <x:v>QAR-0001 &gt; QAR-0005 &gt; KIT-0023 &gt; PRT-0096</x:v>
      </x:c>
      <x:c r="I256"/>
    </x:row>
    <x:row r="257">
      <x:c r="A257" s="63" t="n">
        <x:v>2</x:v>
      </x:c>
      <x:c r="B257" s="63" t="str">
        <x:v>QAR-0005</x:v>
      </x:c>
      <x:c r="C257" s="63" t="str">
        <x:v>OFT-0012</x:v>
      </x:c>
      <x:c r="D257" s="63" t="str">
        <x:v>Mooring Line Outfit</x:v>
      </x:c>
      <x:c r="E257" s="63" t="n">
        <x:v>1</x:v>
      </x:c>
      <x:c r="F257" s="63" t="n">
        <x:v>1</x:v>
      </x:c>
      <x:c r="G257" s="54" t="str">
        <x:v>RECONSTRUCTED</x:v>
      </x:c>
      <x:c r="H257" s="54" t="str">
        <x:v>QAR-0001 &gt; QAR-0005 &gt; OFT-0012</x:v>
      </x:c>
      <x:c r="I257"/>
    </x:row>
    <x:row r="258">
      <x:c r="A258" s="63" t="n">
        <x:v>3</x:v>
      </x:c>
      <x:c r="B258" s="63" t="str">
        <x:v>OFT-0012</x:v>
      </x:c>
      <x:c r="C258" s="63" t="str">
        <x:v>PRT-0097</x:v>
      </x:c>
      <x:c r="D258" s="63" t="str">
        <x:v>Mooring Hawser, 300 ft</x:v>
      </x:c>
      <x:c r="E258" s="63" t="n">
        <x:v>8</x:v>
      </x:c>
      <x:c r="F258" s="63" t="n">
        <x:v>8</x:v>
      </x:c>
      <x:c r="G258" s="54" t="str">
        <x:v>RECONSTRUCTED</x:v>
      </x:c>
      <x:c r="H258" s="54" t="str">
        <x:v>QAR-0001 &gt; QAR-0005 &gt; OFT-0012 &gt; PRT-0097</x:v>
      </x:c>
      <x:c r="I258"/>
    </x:row>
    <x:row r="259">
      <x:c r="A259" s="63" t="n">
        <x:v>3</x:v>
      </x:c>
      <x:c r="B259" s="63" t="str">
        <x:v>OFT-0012</x:v>
      </x:c>
      <x:c r="C259" s="63" t="str">
        <x:v>PRT-0098</x:v>
      </x:c>
      <x:c r="D259" s="63" t="str">
        <x:v>Heaving Line, 100 ft</x:v>
      </x:c>
      <x:c r="E259" s="63" t="n">
        <x:v>12</x:v>
      </x:c>
      <x:c r="F259" s="63" t="n">
        <x:v>12</x:v>
      </x:c>
      <x:c r="G259" s="54" t="str">
        <x:v>RECONSTRUCTED</x:v>
      </x:c>
      <x:c r="H259" s="54" t="str">
        <x:v>QAR-0001 &gt; QAR-0005 &gt; OFT-0012 &gt; PRT-0098</x:v>
      </x:c>
      <x:c r="I259"/>
    </x:row>
    <x:row r="260">
      <x:c r="A260" s="63" t="n">
        <x:v>1</x:v>
      </x:c>
      <x:c r="B260" s="63" t="str">
        <x:v>QAR-0001</x:v>
      </x:c>
      <x:c r="C260" s="63" t="str">
        <x:v>QAR-0006</x:v>
      </x:c>
      <x:c r="D260" s="63" t="str">
        <x:v>Ship's Boats Outfit</x:v>
      </x:c>
      <x:c r="E260" s="63" t="n">
        <x:v>1</x:v>
      </x:c>
      <x:c r="F260" s="63" t="n">
        <x:v>1</x:v>
      </x:c>
      <x:c r="G260" s="54" t="str">
        <x:v>RECONSTRUCTED</x:v>
      </x:c>
      <x:c r="H260" s="54" t="str">
        <x:v>QAR-0001 &gt; QAR-0006</x:v>
      </x:c>
      <x:c r="I260"/>
    </x:row>
    <x:row r="261">
      <x:c r="A261" s="63" t="n">
        <x:v>2</x:v>
      </x:c>
      <x:c r="B261" s="63" t="str">
        <x:v>QAR-0006</x:v>
      </x:c>
      <x:c r="C261" s="63" t="str">
        <x:v>OFT-0013</x:v>
      </x:c>
      <x:c r="D261" s="63" t="str">
        <x:v>Longboat Complete Outfit</x:v>
      </x:c>
      <x:c r="E261" s="63" t="n">
        <x:v>1</x:v>
      </x:c>
      <x:c r="F261" s="63" t="n">
        <x:v>1</x:v>
      </x:c>
      <x:c r="G261" s="54" t="str">
        <x:v>RECONSTRUCTED</x:v>
      </x:c>
      <x:c r="H261" s="54" t="str">
        <x:v>QAR-0001 &gt; QAR-0006 &gt; OFT-0013</x:v>
      </x:c>
      <x:c r="I261"/>
    </x:row>
    <x:row r="262">
      <x:c r="A262" s="63" t="n">
        <x:v>3</x:v>
      </x:c>
      <x:c r="B262" s="63" t="str">
        <x:v>OFT-0013</x:v>
      </x:c>
      <x:c r="C262" s="63" t="str">
        <x:v>ASM-0024</x:v>
      </x:c>
      <x:c r="D262" s="63" t="str">
        <x:v>Longboat Hull</x:v>
      </x:c>
      <x:c r="E262" s="63" t="n">
        <x:v>1</x:v>
      </x:c>
      <x:c r="F262" s="63" t="n">
        <x:v>1</x:v>
      </x:c>
      <x:c r="G262" s="54" t="str">
        <x:v>RECONSTRUCTED</x:v>
      </x:c>
      <x:c r="H262" s="54" t="str">
        <x:v>QAR-0001 &gt; QAR-0006 &gt; OFT-0013 &gt; ASM-0024</x:v>
      </x:c>
      <x:c r="I262"/>
    </x:row>
    <x:row r="263">
      <x:c r="A263" s="63" t="n">
        <x:v>3</x:v>
      </x:c>
      <x:c r="B263" s="63" t="str">
        <x:v>OFT-0013</x:v>
      </x:c>
      <x:c r="C263" s="63" t="str">
        <x:v>PRT-0099</x:v>
      </x:c>
      <x:c r="D263" s="63" t="str">
        <x:v>Longboat Oar</x:v>
      </x:c>
      <x:c r="E263" s="63" t="n">
        <x:v>12</x:v>
      </x:c>
      <x:c r="F263" s="63" t="n">
        <x:v>12</x:v>
      </x:c>
      <x:c r="G263" s="54" t="str">
        <x:v>RECONSTRUCTED</x:v>
      </x:c>
      <x:c r="H263" s="54" t="str">
        <x:v>QAR-0001 &gt; QAR-0006 &gt; OFT-0013 &gt; PRT-0099</x:v>
      </x:c>
      <x:c r="I263"/>
    </x:row>
    <x:row r="264">
      <x:c r="A264" s="63" t="n">
        <x:v>3</x:v>
      </x:c>
      <x:c r="B264" s="63" t="str">
        <x:v>OFT-0013</x:v>
      </x:c>
      <x:c r="C264" s="63" t="str">
        <x:v>ASM-0027</x:v>
      </x:c>
      <x:c r="D264" s="63" t="str">
        <x:v>Boat Rudder and Tiller</x:v>
      </x:c>
      <x:c r="E264" s="63" t="n">
        <x:v>1</x:v>
      </x:c>
      <x:c r="F264" s="63" t="n">
        <x:v>1</x:v>
      </x:c>
      <x:c r="G264" s="54" t="str">
        <x:v>RECONSTRUCTED</x:v>
      </x:c>
      <x:c r="H264" s="54" t="str">
        <x:v>QAR-0001 &gt; QAR-0006 &gt; OFT-0013 &gt; ASM-0027</x:v>
      </x:c>
      <x:c r="I264"/>
    </x:row>
    <x:row r="265">
      <x:c r="A265" s="63" t="n">
        <x:v>3</x:v>
      </x:c>
      <x:c r="B265" s="63" t="str">
        <x:v>OFT-0013</x:v>
      </x:c>
      <x:c r="C265" s="63" t="str">
        <x:v>ASM-0028</x:v>
      </x:c>
      <x:c r="D265" s="63" t="str">
        <x:v>Boat Mast and Yard</x:v>
      </x:c>
      <x:c r="E265" s="63" t="n">
        <x:v>1</x:v>
      </x:c>
      <x:c r="F265" s="63" t="n">
        <x:v>1</x:v>
      </x:c>
      <x:c r="G265" s="54" t="str">
        <x:v>RECONSTRUCTED</x:v>
      </x:c>
      <x:c r="H265" s="54" t="str">
        <x:v>QAR-0001 &gt; QAR-0006 &gt; OFT-0013 &gt; ASM-0028</x:v>
      </x:c>
      <x:c r="I265"/>
    </x:row>
    <x:row r="266">
      <x:c r="A266" s="63" t="n">
        <x:v>3</x:v>
      </x:c>
      <x:c r="B266" s="63" t="str">
        <x:v>OFT-0013</x:v>
      </x:c>
      <x:c r="C266" s="63" t="str">
        <x:v>ASM-0029</x:v>
      </x:c>
      <x:c r="D266" s="63" t="str">
        <x:v>Boat Lug Sail</x:v>
      </x:c>
      <x:c r="E266" s="63" t="n">
        <x:v>1</x:v>
      </x:c>
      <x:c r="F266" s="63" t="n">
        <x:v>1</x:v>
      </x:c>
      <x:c r="G266" s="54" t="str">
        <x:v>RECONSTRUCTED</x:v>
      </x:c>
      <x:c r="H266" s="54" t="str">
        <x:v>QAR-0001 &gt; QAR-0006 &gt; OFT-0013 &gt; ASM-0029</x:v>
      </x:c>
      <x:c r="I266"/>
    </x:row>
    <x:row r="267">
      <x:c r="A267" s="63" t="n">
        <x:v>3</x:v>
      </x:c>
      <x:c r="B267" s="63" t="str">
        <x:v>OFT-0013</x:v>
      </x:c>
      <x:c r="C267" s="63" t="str">
        <x:v>ASM-0030</x:v>
      </x:c>
      <x:c r="D267" s="63" t="str">
        <x:v>Boat Grapnel and Line</x:v>
      </x:c>
      <x:c r="E267" s="63" t="n">
        <x:v>1</x:v>
      </x:c>
      <x:c r="F267" s="63" t="n">
        <x:v>1</x:v>
      </x:c>
      <x:c r="G267" s="54" t="str">
        <x:v>RECONSTRUCTED</x:v>
      </x:c>
      <x:c r="H267" s="54" t="str">
        <x:v>QAR-0001 &gt; QAR-0006 &gt; OFT-0013 &gt; ASM-0030</x:v>
      </x:c>
      <x:c r="I267"/>
    </x:row>
    <x:row r="268">
      <x:c r="A268" s="63" t="n">
        <x:v>3</x:v>
      </x:c>
      <x:c r="B268" s="63" t="str">
        <x:v>OFT-0013</x:v>
      </x:c>
      <x:c r="C268" s="63" t="str">
        <x:v>PRT-0101</x:v>
      </x:c>
      <x:c r="D268" s="63" t="str">
        <x:v>Boat Painter, 100 ft</x:v>
      </x:c>
      <x:c r="E268" s="63" t="n">
        <x:v>2</x:v>
      </x:c>
      <x:c r="F268" s="63" t="n">
        <x:v>2</x:v>
      </x:c>
      <x:c r="G268" s="54" t="str">
        <x:v>RECONSTRUCTED</x:v>
      </x:c>
      <x:c r="H268" s="54" t="str">
        <x:v>QAR-0001 &gt; QAR-0006 &gt; OFT-0013 &gt; PRT-0101</x:v>
      </x:c>
      <x:c r="I268"/>
    </x:row>
    <x:row r="269">
      <x:c r="A269" s="63" t="n">
        <x:v>3</x:v>
      </x:c>
      <x:c r="B269" s="63" t="str">
        <x:v>OFT-0013</x:v>
      </x:c>
      <x:c r="C269" s="63" t="str">
        <x:v>PRT-0102</x:v>
      </x:c>
      <x:c r="D269" s="63" t="str">
        <x:v>Wooden Boat Bailer</x:v>
      </x:c>
      <x:c r="E269" s="63" t="n">
        <x:v>2</x:v>
      </x:c>
      <x:c r="F269" s="63" t="n">
        <x:v>2</x:v>
      </x:c>
      <x:c r="G269" s="54" t="str">
        <x:v>RECONSTRUCTED</x:v>
      </x:c>
      <x:c r="H269" s="54" t="str">
        <x:v>QAR-0001 &gt; QAR-0006 &gt; OFT-0013 &gt; PRT-0102</x:v>
      </x:c>
      <x:c r="I269"/>
    </x:row>
    <x:row r="270">
      <x:c r="A270" s="63" t="n">
        <x:v>3</x:v>
      </x:c>
      <x:c r="B270" s="63" t="str">
        <x:v>OFT-0013</x:v>
      </x:c>
      <x:c r="C270" s="63" t="str">
        <x:v>PKG-0005</x:v>
      </x:c>
      <x:c r="D270" s="63" t="str">
        <x:v>Boat Water Breaker, 10 gal</x:v>
      </x:c>
      <x:c r="E270" s="63" t="n">
        <x:v>2</x:v>
      </x:c>
      <x:c r="F270" s="63" t="n">
        <x:v>2</x:v>
      </x:c>
      <x:c r="G270" s="54" t="str">
        <x:v>RECONSTRUCTED</x:v>
      </x:c>
      <x:c r="H270" s="54" t="str">
        <x:v>QAR-0001 &gt; QAR-0006 &gt; OFT-0013 &gt; PKG-0005</x:v>
      </x:c>
      <x:c r="I270"/>
    </x:row>
    <x:row r="271">
      <x:c r="A271" s="63" t="n">
        <x:v>3</x:v>
      </x:c>
      <x:c r="B271" s="63" t="str">
        <x:v>OFT-0013</x:v>
      </x:c>
      <x:c r="C271" s="63" t="str">
        <x:v>KIT-0024</x:v>
      </x:c>
      <x:c r="D271" s="63" t="str">
        <x:v>Boat Emergency Repair Kit</x:v>
      </x:c>
      <x:c r="E271" s="63" t="n">
        <x:v>1</x:v>
      </x:c>
      <x:c r="F271" s="63" t="n">
        <x:v>1</x:v>
      </x:c>
      <x:c r="G271" s="54" t="str">
        <x:v>RECONSTRUCTED</x:v>
      </x:c>
      <x:c r="H271" s="54" t="str">
        <x:v>QAR-0001 &gt; QAR-0006 &gt; OFT-0013 &gt; KIT-0024</x:v>
      </x:c>
      <x:c r="I271"/>
    </x:row>
    <x:row r="272">
      <x:c r="A272" s="63" t="n">
        <x:v>4</x:v>
      </x:c>
      <x:c r="B272" s="63" t="str">
        <x:v>KIT-0024</x:v>
      </x:c>
      <x:c r="C272" s="63" t="str">
        <x:v>PRT-0120</x:v>
      </x:c>
      <x:c r="D272" s="63" t="str">
        <x:v>Emergency Patch Plank</x:v>
      </x:c>
      <x:c r="E272" s="63" t="n">
        <x:v>2</x:v>
      </x:c>
      <x:c r="F272" s="63" t="n">
        <x:v>2</x:v>
      </x:c>
      <x:c r="G272" s="54" t="str">
        <x:v>RECONSTRUCTED</x:v>
      </x:c>
      <x:c r="H272" s="54" t="str">
        <x:v>QAR-0001 &gt; QAR-0006 &gt; OFT-0013 &gt; KIT-0024 &gt; PRT-0120</x:v>
      </x:c>
      <x:c r="I272"/>
    </x:row>
    <x:row r="273">
      <x:c r="A273" s="63" t="n">
        <x:v>4</x:v>
      </x:c>
      <x:c r="B273" s="63" t="str">
        <x:v>KIT-0024</x:v>
      </x:c>
      <x:c r="C273" s="63" t="str">
        <x:v>MAT-0010</x:v>
      </x:c>
      <x:c r="D273" s="63" t="str">
        <x:v>Oakum Bale, 25 lb</x:v>
      </x:c>
      <x:c r="E273" s="63" t="n">
        <x:v>1</x:v>
      </x:c>
      <x:c r="F273" s="63" t="n">
        <x:v>1</x:v>
      </x:c>
      <x:c r="G273" s="54" t="str">
        <x:v>RECONSTRUCTED</x:v>
      </x:c>
      <x:c r="H273" s="54" t="str">
        <x:v>QAR-0001 &gt; QAR-0006 &gt; OFT-0013 &gt; KIT-0024 &gt; MAT-0010</x:v>
      </x:c>
      <x:c r="I273"/>
    </x:row>
    <x:row r="274">
      <x:c r="A274" s="63" t="n">
        <x:v>4</x:v>
      </x:c>
      <x:c r="B274" s="63" t="str">
        <x:v>KIT-0024</x:v>
      </x:c>
      <x:c r="C274" s="63" t="str">
        <x:v>MAT-0011</x:v>
      </x:c>
      <x:c r="D274" s="63" t="str">
        <x:v>Pine Pitch Keg, 25 lb</x:v>
      </x:c>
      <x:c r="E274" s="63" t="n">
        <x:v>1</x:v>
      </x:c>
      <x:c r="F274" s="63" t="n">
        <x:v>1</x:v>
      </x:c>
      <x:c r="G274" s="54" t="str">
        <x:v>RECONSTRUCTED</x:v>
      </x:c>
      <x:c r="H274" s="54" t="str">
        <x:v>QAR-0001 &gt; QAR-0006 &gt; OFT-0013 &gt; KIT-0024 &gt; MAT-0011</x:v>
      </x:c>
      <x:c r="I274"/>
    </x:row>
    <x:row r="275">
      <x:c r="A275" s="63" t="n">
        <x:v>4</x:v>
      </x:c>
      <x:c r="B275" s="63" t="str">
        <x:v>KIT-0024</x:v>
      </x:c>
      <x:c r="C275" s="63" t="str">
        <x:v>PRT-0116</x:v>
      </x:c>
      <x:c r="D275" s="63" t="str">
        <x:v>Claw Hammer</x:v>
      </x:c>
      <x:c r="E275" s="63" t="n">
        <x:v>1</x:v>
      </x:c>
      <x:c r="F275" s="63" t="n">
        <x:v>1</x:v>
      </x:c>
      <x:c r="G275" s="54" t="str">
        <x:v>RECONSTRUCTED</x:v>
      </x:c>
      <x:c r="H275" s="54" t="str">
        <x:v>QAR-0001 &gt; QAR-0006 &gt; OFT-0013 &gt; KIT-0024 &gt; PRT-0116</x:v>
      </x:c>
      <x:c r="I275"/>
    </x:row>
    <x:row r="276">
      <x:c r="A276" s="63" t="n">
        <x:v>4</x:v>
      </x:c>
      <x:c r="B276" s="63" t="str">
        <x:v>KIT-0024</x:v>
      </x:c>
      <x:c r="C276" s="63" t="str">
        <x:v>PRT-0002</x:v>
      </x:c>
      <x:c r="D276" s="63" t="str">
        <x:v>Large Wrought-Iron Hull Spike</x:v>
      </x:c>
      <x:c r="E276" s="63" t="n">
        <x:v>12</x:v>
      </x:c>
      <x:c r="F276" s="63" t="n">
        <x:v>12</x:v>
      </x:c>
      <x:c r="G276" s="54" t="str">
        <x:v>RECOVERED</x:v>
      </x:c>
      <x:c r="H276" s="54" t="str">
        <x:v>QAR-0001 &gt; QAR-0006 &gt; OFT-0013 &gt; KIT-0024 &gt; PRT-0002</x:v>
      </x:c>
      <x:c r="I276"/>
    </x:row>
    <x:row r="277">
      <x:c r="A277" s="63" t="n">
        <x:v>4</x:v>
      </x:c>
      <x:c r="B277" s="63" t="str">
        <x:v>KIT-0024</x:v>
      </x:c>
      <x:c r="C277" s="63" t="str">
        <x:v>LBL-0014</x:v>
      </x:c>
      <x:c r="D277" s="63" t="str">
        <x:v>General Kit Identification Label</x:v>
      </x:c>
      <x:c r="E277" s="63" t="n">
        <x:v>1</x:v>
      </x:c>
      <x:c r="F277" s="63" t="n">
        <x:v>1</x:v>
      </x:c>
      <x:c r="G277" s="54" t="str">
        <x:v>FICTIONAL</x:v>
      </x:c>
      <x:c r="H277" s="54" t="str">
        <x:v>QAR-0001 &gt; QAR-0006 &gt; OFT-0013 &gt; KIT-0024 &gt; LBL-0014</x:v>
      </x:c>
      <x:c r="I277"/>
    </x:row>
    <x:row r="278">
      <x:c r="A278" s="63" t="n">
        <x:v>2</x:v>
      </x:c>
      <x:c r="B278" s="63" t="str">
        <x:v>QAR-0006</x:v>
      </x:c>
      <x:c r="C278" s="63" t="str">
        <x:v>OFT-0014</x:v>
      </x:c>
      <x:c r="D278" s="63" t="str">
        <x:v>Yawl Complete Outfit</x:v>
      </x:c>
      <x:c r="E278" s="63" t="n">
        <x:v>1</x:v>
      </x:c>
      <x:c r="F278" s="63" t="n">
        <x:v>1</x:v>
      </x:c>
      <x:c r="G278" s="54" t="str">
        <x:v>RECONSTRUCTED</x:v>
      </x:c>
      <x:c r="H278" s="54" t="str">
        <x:v>QAR-0001 &gt; QAR-0006 &gt; OFT-0014</x:v>
      </x:c>
      <x:c r="I278"/>
    </x:row>
    <x:row r="279">
      <x:c r="A279" s="63" t="n">
        <x:v>3</x:v>
      </x:c>
      <x:c r="B279" s="63" t="str">
        <x:v>OFT-0014</x:v>
      </x:c>
      <x:c r="C279" s="63" t="str">
        <x:v>ASM-0025</x:v>
      </x:c>
      <x:c r="D279" s="63" t="str">
        <x:v>Yawl Hull</x:v>
      </x:c>
      <x:c r="E279" s="63" t="n">
        <x:v>1</x:v>
      </x:c>
      <x:c r="F279" s="63" t="n">
        <x:v>1</x:v>
      </x:c>
      <x:c r="G279" s="54" t="str">
        <x:v>RECONSTRUCTED</x:v>
      </x:c>
      <x:c r="H279" s="54" t="str">
        <x:v>QAR-0001 &gt; QAR-0006 &gt; OFT-0014 &gt; ASM-0025</x:v>
      </x:c>
      <x:c r="I279"/>
    </x:row>
    <x:row r="280">
      <x:c r="A280" s="63" t="n">
        <x:v>3</x:v>
      </x:c>
      <x:c r="B280" s="63" t="str">
        <x:v>OFT-0014</x:v>
      </x:c>
      <x:c r="C280" s="63" t="str">
        <x:v>PRT-0100</x:v>
      </x:c>
      <x:c r="D280" s="63" t="str">
        <x:v>Boat Oar</x:v>
      </x:c>
      <x:c r="E280" s="63" t="n">
        <x:v>8</x:v>
      </x:c>
      <x:c r="F280" s="63" t="n">
        <x:v>8</x:v>
      </x:c>
      <x:c r="G280" s="54" t="str">
        <x:v>RECONSTRUCTED</x:v>
      </x:c>
      <x:c r="H280" s="54" t="str">
        <x:v>QAR-0001 &gt; QAR-0006 &gt; OFT-0014 &gt; PRT-0100</x:v>
      </x:c>
      <x:c r="I280"/>
    </x:row>
    <x:row r="281">
      <x:c r="A281" s="63" t="n">
        <x:v>3</x:v>
      </x:c>
      <x:c r="B281" s="63" t="str">
        <x:v>OFT-0014</x:v>
      </x:c>
      <x:c r="C281" s="63" t="str">
        <x:v>ASM-0027</x:v>
      </x:c>
      <x:c r="D281" s="63" t="str">
        <x:v>Boat Rudder and Tiller</x:v>
      </x:c>
      <x:c r="E281" s="63" t="n">
        <x:v>1</x:v>
      </x:c>
      <x:c r="F281" s="63" t="n">
        <x:v>1</x:v>
      </x:c>
      <x:c r="G281" s="54" t="str">
        <x:v>RECONSTRUCTED</x:v>
      </x:c>
      <x:c r="H281" s="54" t="str">
        <x:v>QAR-0001 &gt; QAR-0006 &gt; OFT-0014 &gt; ASM-0027</x:v>
      </x:c>
      <x:c r="I281"/>
    </x:row>
    <x:row r="282">
      <x:c r="A282" s="63" t="n">
        <x:v>3</x:v>
      </x:c>
      <x:c r="B282" s="63" t="str">
        <x:v>OFT-0014</x:v>
      </x:c>
      <x:c r="C282" s="63" t="str">
        <x:v>ASM-0028</x:v>
      </x:c>
      <x:c r="D282" s="63" t="str">
        <x:v>Boat Mast and Yard</x:v>
      </x:c>
      <x:c r="E282" s="63" t="n">
        <x:v>1</x:v>
      </x:c>
      <x:c r="F282" s="63" t="n">
        <x:v>1</x:v>
      </x:c>
      <x:c r="G282" s="54" t="str">
        <x:v>RECONSTRUCTED</x:v>
      </x:c>
      <x:c r="H282" s="54" t="str">
        <x:v>QAR-0001 &gt; QAR-0006 &gt; OFT-0014 &gt; ASM-0028</x:v>
      </x:c>
      <x:c r="I282"/>
    </x:row>
    <x:row r="283">
      <x:c r="A283" s="63" t="n">
        <x:v>3</x:v>
      </x:c>
      <x:c r="B283" s="63" t="str">
        <x:v>OFT-0014</x:v>
      </x:c>
      <x:c r="C283" s="63" t="str">
        <x:v>ASM-0029</x:v>
      </x:c>
      <x:c r="D283" s="63" t="str">
        <x:v>Boat Lug Sail</x:v>
      </x:c>
      <x:c r="E283" s="63" t="n">
        <x:v>1</x:v>
      </x:c>
      <x:c r="F283" s="63" t="n">
        <x:v>1</x:v>
      </x:c>
      <x:c r="G283" s="54" t="str">
        <x:v>RECONSTRUCTED</x:v>
      </x:c>
      <x:c r="H283" s="54" t="str">
        <x:v>QAR-0001 &gt; QAR-0006 &gt; OFT-0014 &gt; ASM-0029</x:v>
      </x:c>
      <x:c r="I283"/>
    </x:row>
    <x:row r="284">
      <x:c r="A284" s="63" t="n">
        <x:v>3</x:v>
      </x:c>
      <x:c r="B284" s="63" t="str">
        <x:v>OFT-0014</x:v>
      </x:c>
      <x:c r="C284" s="63" t="str">
        <x:v>ASM-0030</x:v>
      </x:c>
      <x:c r="D284" s="63" t="str">
        <x:v>Boat Grapnel and Line</x:v>
      </x:c>
      <x:c r="E284" s="63" t="n">
        <x:v>1</x:v>
      </x:c>
      <x:c r="F284" s="63" t="n">
        <x:v>1</x:v>
      </x:c>
      <x:c r="G284" s="54" t="str">
        <x:v>RECONSTRUCTED</x:v>
      </x:c>
      <x:c r="H284" s="54" t="str">
        <x:v>QAR-0001 &gt; QAR-0006 &gt; OFT-0014 &gt; ASM-0030</x:v>
      </x:c>
      <x:c r="I284"/>
    </x:row>
    <x:row r="285">
      <x:c r="A285" s="63" t="n">
        <x:v>3</x:v>
      </x:c>
      <x:c r="B285" s="63" t="str">
        <x:v>OFT-0014</x:v>
      </x:c>
      <x:c r="C285" s="63" t="str">
        <x:v>PRT-0101</x:v>
      </x:c>
      <x:c r="D285" s="63" t="str">
        <x:v>Boat Painter, 100 ft</x:v>
      </x:c>
      <x:c r="E285" s="63" t="n">
        <x:v>2</x:v>
      </x:c>
      <x:c r="F285" s="63" t="n">
        <x:v>2</x:v>
      </x:c>
      <x:c r="G285" s="54" t="str">
        <x:v>RECONSTRUCTED</x:v>
      </x:c>
      <x:c r="H285" s="54" t="str">
        <x:v>QAR-0001 &gt; QAR-0006 &gt; OFT-0014 &gt; PRT-0101</x:v>
      </x:c>
      <x:c r="I285"/>
    </x:row>
    <x:row r="286">
      <x:c r="A286" s="63" t="n">
        <x:v>3</x:v>
      </x:c>
      <x:c r="B286" s="63" t="str">
        <x:v>OFT-0014</x:v>
      </x:c>
      <x:c r="C286" s="63" t="str">
        <x:v>PRT-0102</x:v>
      </x:c>
      <x:c r="D286" s="63" t="str">
        <x:v>Wooden Boat Bailer</x:v>
      </x:c>
      <x:c r="E286" s="63" t="n">
        <x:v>2</x:v>
      </x:c>
      <x:c r="F286" s="63" t="n">
        <x:v>2</x:v>
      </x:c>
      <x:c r="G286" s="54" t="str">
        <x:v>RECONSTRUCTED</x:v>
      </x:c>
      <x:c r="H286" s="54" t="str">
        <x:v>QAR-0001 &gt; QAR-0006 &gt; OFT-0014 &gt; PRT-0102</x:v>
      </x:c>
      <x:c r="I286"/>
    </x:row>
    <x:row r="287">
      <x:c r="A287" s="63" t="n">
        <x:v>3</x:v>
      </x:c>
      <x:c r="B287" s="63" t="str">
        <x:v>OFT-0014</x:v>
      </x:c>
      <x:c r="C287" s="63" t="str">
        <x:v>PKG-0005</x:v>
      </x:c>
      <x:c r="D287" s="63" t="str">
        <x:v>Boat Water Breaker, 10 gal</x:v>
      </x:c>
      <x:c r="E287" s="63" t="n">
        <x:v>1</x:v>
      </x:c>
      <x:c r="F287" s="63" t="n">
        <x:v>1</x:v>
      </x:c>
      <x:c r="G287" s="54" t="str">
        <x:v>RECONSTRUCTED</x:v>
      </x:c>
      <x:c r="H287" s="54" t="str">
        <x:v>QAR-0001 &gt; QAR-0006 &gt; OFT-0014 &gt; PKG-0005</x:v>
      </x:c>
      <x:c r="I287"/>
    </x:row>
    <x:row r="288">
      <x:c r="A288" s="63" t="n">
        <x:v>3</x:v>
      </x:c>
      <x:c r="B288" s="63" t="str">
        <x:v>OFT-0014</x:v>
      </x:c>
      <x:c r="C288" s="63" t="str">
        <x:v>KIT-0024</x:v>
      </x:c>
      <x:c r="D288" s="63" t="str">
        <x:v>Boat Emergency Repair Kit</x:v>
      </x:c>
      <x:c r="E288" s="63" t="n">
        <x:v>1</x:v>
      </x:c>
      <x:c r="F288" s="63" t="n">
        <x:v>1</x:v>
      </x:c>
      <x:c r="G288" s="54" t="str">
        <x:v>RECONSTRUCTED</x:v>
      </x:c>
      <x:c r="H288" s="54" t="str">
        <x:v>QAR-0001 &gt; QAR-0006 &gt; OFT-0014 &gt; KIT-0024</x:v>
      </x:c>
      <x:c r="I288"/>
    </x:row>
    <x:row r="289">
      <x:c r="A289" s="63" t="n">
        <x:v>4</x:v>
      </x:c>
      <x:c r="B289" s="63" t="str">
        <x:v>KIT-0024</x:v>
      </x:c>
      <x:c r="C289" s="63" t="str">
        <x:v>PRT-0120</x:v>
      </x:c>
      <x:c r="D289" s="63" t="str">
        <x:v>Emergency Patch Plank</x:v>
      </x:c>
      <x:c r="E289" s="63" t="n">
        <x:v>2</x:v>
      </x:c>
      <x:c r="F289" s="63" t="n">
        <x:v>2</x:v>
      </x:c>
      <x:c r="G289" s="54" t="str">
        <x:v>RECONSTRUCTED</x:v>
      </x:c>
      <x:c r="H289" s="54" t="str">
        <x:v>QAR-0001 &gt; QAR-0006 &gt; OFT-0014 &gt; KIT-0024 &gt; PRT-0120</x:v>
      </x:c>
      <x:c r="I289"/>
    </x:row>
    <x:row r="290">
      <x:c r="A290" s="63" t="n">
        <x:v>4</x:v>
      </x:c>
      <x:c r="B290" s="63" t="str">
        <x:v>KIT-0024</x:v>
      </x:c>
      <x:c r="C290" s="63" t="str">
        <x:v>MAT-0010</x:v>
      </x:c>
      <x:c r="D290" s="63" t="str">
        <x:v>Oakum Bale, 25 lb</x:v>
      </x:c>
      <x:c r="E290" s="63" t="n">
        <x:v>1</x:v>
      </x:c>
      <x:c r="F290" s="63" t="n">
        <x:v>1</x:v>
      </x:c>
      <x:c r="G290" s="54" t="str">
        <x:v>RECONSTRUCTED</x:v>
      </x:c>
      <x:c r="H290" s="54" t="str">
        <x:v>QAR-0001 &gt; QAR-0006 &gt; OFT-0014 &gt; KIT-0024 &gt; MAT-0010</x:v>
      </x:c>
      <x:c r="I290"/>
    </x:row>
    <x:row r="291">
      <x:c r="A291" s="63" t="n">
        <x:v>4</x:v>
      </x:c>
      <x:c r="B291" s="63" t="str">
        <x:v>KIT-0024</x:v>
      </x:c>
      <x:c r="C291" s="63" t="str">
        <x:v>MAT-0011</x:v>
      </x:c>
      <x:c r="D291" s="63" t="str">
        <x:v>Pine Pitch Keg, 25 lb</x:v>
      </x:c>
      <x:c r="E291" s="63" t="n">
        <x:v>1</x:v>
      </x:c>
      <x:c r="F291" s="63" t="n">
        <x:v>1</x:v>
      </x:c>
      <x:c r="G291" s="54" t="str">
        <x:v>RECONSTRUCTED</x:v>
      </x:c>
      <x:c r="H291" s="54" t="str">
        <x:v>QAR-0001 &gt; QAR-0006 &gt; OFT-0014 &gt; KIT-0024 &gt; MAT-0011</x:v>
      </x:c>
      <x:c r="I291"/>
    </x:row>
    <x:row r="292">
      <x:c r="A292" s="63" t="n">
        <x:v>4</x:v>
      </x:c>
      <x:c r="B292" s="63" t="str">
        <x:v>KIT-0024</x:v>
      </x:c>
      <x:c r="C292" s="63" t="str">
        <x:v>PRT-0116</x:v>
      </x:c>
      <x:c r="D292" s="63" t="str">
        <x:v>Claw Hammer</x:v>
      </x:c>
      <x:c r="E292" s="63" t="n">
        <x:v>1</x:v>
      </x:c>
      <x:c r="F292" s="63" t="n">
        <x:v>1</x:v>
      </x:c>
      <x:c r="G292" s="54" t="str">
        <x:v>RECONSTRUCTED</x:v>
      </x:c>
      <x:c r="H292" s="54" t="str">
        <x:v>QAR-0001 &gt; QAR-0006 &gt; OFT-0014 &gt; KIT-0024 &gt; PRT-0116</x:v>
      </x:c>
      <x:c r="I292"/>
    </x:row>
    <x:row r="293">
      <x:c r="A293" s="63" t="n">
        <x:v>4</x:v>
      </x:c>
      <x:c r="B293" s="63" t="str">
        <x:v>KIT-0024</x:v>
      </x:c>
      <x:c r="C293" s="63" t="str">
        <x:v>PRT-0002</x:v>
      </x:c>
      <x:c r="D293" s="63" t="str">
        <x:v>Large Wrought-Iron Hull Spike</x:v>
      </x:c>
      <x:c r="E293" s="63" t="n">
        <x:v>12</x:v>
      </x:c>
      <x:c r="F293" s="63" t="n">
        <x:v>12</x:v>
      </x:c>
      <x:c r="G293" s="54" t="str">
        <x:v>RECOVERED</x:v>
      </x:c>
      <x:c r="H293" s="54" t="str">
        <x:v>QAR-0001 &gt; QAR-0006 &gt; OFT-0014 &gt; KIT-0024 &gt; PRT-0002</x:v>
      </x:c>
      <x:c r="I293"/>
    </x:row>
    <x:row r="294">
      <x:c r="A294" s="63" t="n">
        <x:v>4</x:v>
      </x:c>
      <x:c r="B294" s="63" t="str">
        <x:v>KIT-0024</x:v>
      </x:c>
      <x:c r="C294" s="63" t="str">
        <x:v>LBL-0014</x:v>
      </x:c>
      <x:c r="D294" s="63" t="str">
        <x:v>General Kit Identification Label</x:v>
      </x:c>
      <x:c r="E294" s="63" t="n">
        <x:v>1</x:v>
      </x:c>
      <x:c r="F294" s="63" t="n">
        <x:v>1</x:v>
      </x:c>
      <x:c r="G294" s="54" t="str">
        <x:v>FICTIONAL</x:v>
      </x:c>
      <x:c r="H294" s="54" t="str">
        <x:v>QAR-0001 &gt; QAR-0006 &gt; OFT-0014 &gt; KIT-0024 &gt; LBL-0014</x:v>
      </x:c>
      <x:c r="I294"/>
    </x:row>
    <x:row r="295">
      <x:c r="A295" s="63" t="n">
        <x:v>2</x:v>
      </x:c>
      <x:c r="B295" s="63" t="str">
        <x:v>QAR-0006</x:v>
      </x:c>
      <x:c r="C295" s="63" t="str">
        <x:v>OFT-0015</x:v>
      </x:c>
      <x:c r="D295" s="63" t="str">
        <x:v>Jolly Boat Complete Outfit</x:v>
      </x:c>
      <x:c r="E295" s="63" t="n">
        <x:v>1</x:v>
      </x:c>
      <x:c r="F295" s="63" t="n">
        <x:v>1</x:v>
      </x:c>
      <x:c r="G295" s="54" t="str">
        <x:v>RECONSTRUCTED</x:v>
      </x:c>
      <x:c r="H295" s="54" t="str">
        <x:v>QAR-0001 &gt; QAR-0006 &gt; OFT-0015</x:v>
      </x:c>
      <x:c r="I295"/>
    </x:row>
    <x:row r="296">
      <x:c r="A296" s="63" t="n">
        <x:v>3</x:v>
      </x:c>
      <x:c r="B296" s="63" t="str">
        <x:v>OFT-0015</x:v>
      </x:c>
      <x:c r="C296" s="63" t="str">
        <x:v>ASM-0026</x:v>
      </x:c>
      <x:c r="D296" s="63" t="str">
        <x:v>Jolly Boat Hull</x:v>
      </x:c>
      <x:c r="E296" s="63" t="n">
        <x:v>1</x:v>
      </x:c>
      <x:c r="F296" s="63" t="n">
        <x:v>1</x:v>
      </x:c>
      <x:c r="G296" s="54" t="str">
        <x:v>RECONSTRUCTED</x:v>
      </x:c>
      <x:c r="H296" s="54" t="str">
        <x:v>QAR-0001 &gt; QAR-0006 &gt; OFT-0015 &gt; ASM-0026</x:v>
      </x:c>
      <x:c r="I296"/>
    </x:row>
    <x:row r="297">
      <x:c r="A297" s="63" t="n">
        <x:v>3</x:v>
      </x:c>
      <x:c r="B297" s="63" t="str">
        <x:v>OFT-0015</x:v>
      </x:c>
      <x:c r="C297" s="63" t="str">
        <x:v>PRT-0100</x:v>
      </x:c>
      <x:c r="D297" s="63" t="str">
        <x:v>Boat Oar</x:v>
      </x:c>
      <x:c r="E297" s="63" t="n">
        <x:v>6</x:v>
      </x:c>
      <x:c r="F297" s="63" t="n">
        <x:v>6</x:v>
      </x:c>
      <x:c r="G297" s="54" t="str">
        <x:v>RECONSTRUCTED</x:v>
      </x:c>
      <x:c r="H297" s="54" t="str">
        <x:v>QAR-0001 &gt; QAR-0006 &gt; OFT-0015 &gt; PRT-0100</x:v>
      </x:c>
      <x:c r="I297"/>
    </x:row>
    <x:row r="298">
      <x:c r="A298" s="63" t="n">
        <x:v>3</x:v>
      </x:c>
      <x:c r="B298" s="63" t="str">
        <x:v>OFT-0015</x:v>
      </x:c>
      <x:c r="C298" s="63" t="str">
        <x:v>ASM-0027</x:v>
      </x:c>
      <x:c r="D298" s="63" t="str">
        <x:v>Boat Rudder and Tiller</x:v>
      </x:c>
      <x:c r="E298" s="63" t="n">
        <x:v>1</x:v>
      </x:c>
      <x:c r="F298" s="63" t="n">
        <x:v>1</x:v>
      </x:c>
      <x:c r="G298" s="54" t="str">
        <x:v>RECONSTRUCTED</x:v>
      </x:c>
      <x:c r="H298" s="54" t="str">
        <x:v>QAR-0001 &gt; QAR-0006 &gt; OFT-0015 &gt; ASM-0027</x:v>
      </x:c>
      <x:c r="I298"/>
    </x:row>
    <x:row r="299">
      <x:c r="A299" s="63" t="n">
        <x:v>3</x:v>
      </x:c>
      <x:c r="B299" s="63" t="str">
        <x:v>OFT-0015</x:v>
      </x:c>
      <x:c r="C299" s="63" t="str">
        <x:v>ASM-0030</x:v>
      </x:c>
      <x:c r="D299" s="63" t="str">
        <x:v>Boat Grapnel and Line</x:v>
      </x:c>
      <x:c r="E299" s="63" t="n">
        <x:v>1</x:v>
      </x:c>
      <x:c r="F299" s="63" t="n">
        <x:v>1</x:v>
      </x:c>
      <x:c r="G299" s="54" t="str">
        <x:v>RECONSTRUCTED</x:v>
      </x:c>
      <x:c r="H299" s="54" t="str">
        <x:v>QAR-0001 &gt; QAR-0006 &gt; OFT-0015 &gt; ASM-0030</x:v>
      </x:c>
      <x:c r="I299"/>
    </x:row>
    <x:row r="300">
      <x:c r="A300" s="63" t="n">
        <x:v>3</x:v>
      </x:c>
      <x:c r="B300" s="63" t="str">
        <x:v>OFT-0015</x:v>
      </x:c>
      <x:c r="C300" s="63" t="str">
        <x:v>PRT-0101</x:v>
      </x:c>
      <x:c r="D300" s="63" t="str">
        <x:v>Boat Painter, 100 ft</x:v>
      </x:c>
      <x:c r="E300" s="63" t="n">
        <x:v>2</x:v>
      </x:c>
      <x:c r="F300" s="63" t="n">
        <x:v>2</x:v>
      </x:c>
      <x:c r="G300" s="54" t="str">
        <x:v>RECONSTRUCTED</x:v>
      </x:c>
      <x:c r="H300" s="54" t="str">
        <x:v>QAR-0001 &gt; QAR-0006 &gt; OFT-0015 &gt; PRT-0101</x:v>
      </x:c>
      <x:c r="I300"/>
    </x:row>
    <x:row r="301">
      <x:c r="A301" s="63" t="n">
        <x:v>3</x:v>
      </x:c>
      <x:c r="B301" s="63" t="str">
        <x:v>OFT-0015</x:v>
      </x:c>
      <x:c r="C301" s="63" t="str">
        <x:v>PRT-0102</x:v>
      </x:c>
      <x:c r="D301" s="63" t="str">
        <x:v>Wooden Boat Bailer</x:v>
      </x:c>
      <x:c r="E301" s="63" t="n">
        <x:v>1</x:v>
      </x:c>
      <x:c r="F301" s="63" t="n">
        <x:v>1</x:v>
      </x:c>
      <x:c r="G301" s="54" t="str">
        <x:v>RECONSTRUCTED</x:v>
      </x:c>
      <x:c r="H301" s="54" t="str">
        <x:v>QAR-0001 &gt; QAR-0006 &gt; OFT-0015 &gt; PRT-0102</x:v>
      </x:c>
      <x:c r="I301"/>
    </x:row>
    <x:row r="302">
      <x:c r="A302" s="63" t="n">
        <x:v>3</x:v>
      </x:c>
      <x:c r="B302" s="63" t="str">
        <x:v>OFT-0015</x:v>
      </x:c>
      <x:c r="C302" s="63" t="str">
        <x:v>PKG-0005</x:v>
      </x:c>
      <x:c r="D302" s="63" t="str">
        <x:v>Boat Water Breaker, 10 gal</x:v>
      </x:c>
      <x:c r="E302" s="63" t="n">
        <x:v>1</x:v>
      </x:c>
      <x:c r="F302" s="63" t="n">
        <x:v>1</x:v>
      </x:c>
      <x:c r="G302" s="54" t="str">
        <x:v>RECONSTRUCTED</x:v>
      </x:c>
      <x:c r="H302" s="54" t="str">
        <x:v>QAR-0001 &gt; QAR-0006 &gt; OFT-0015 &gt; PKG-0005</x:v>
      </x:c>
      <x:c r="I302"/>
    </x:row>
    <x:row r="303">
      <x:c r="A303" s="63" t="n">
        <x:v>3</x:v>
      </x:c>
      <x:c r="B303" s="63" t="str">
        <x:v>OFT-0015</x:v>
      </x:c>
      <x:c r="C303" s="63" t="str">
        <x:v>KIT-0024</x:v>
      </x:c>
      <x:c r="D303" s="63" t="str">
        <x:v>Boat Emergency Repair Kit</x:v>
      </x:c>
      <x:c r="E303" s="63" t="n">
        <x:v>1</x:v>
      </x:c>
      <x:c r="F303" s="63" t="n">
        <x:v>1</x:v>
      </x:c>
      <x:c r="G303" s="54" t="str">
        <x:v>RECONSTRUCTED</x:v>
      </x:c>
      <x:c r="H303" s="54" t="str">
        <x:v>QAR-0001 &gt; QAR-0006 &gt; OFT-0015 &gt; KIT-0024</x:v>
      </x:c>
      <x:c r="I303"/>
    </x:row>
    <x:row r="304">
      <x:c r="A304" s="63" t="n">
        <x:v>4</x:v>
      </x:c>
      <x:c r="B304" s="63" t="str">
        <x:v>KIT-0024</x:v>
      </x:c>
      <x:c r="C304" s="63" t="str">
        <x:v>PRT-0120</x:v>
      </x:c>
      <x:c r="D304" s="63" t="str">
        <x:v>Emergency Patch Plank</x:v>
      </x:c>
      <x:c r="E304" s="63" t="n">
        <x:v>2</x:v>
      </x:c>
      <x:c r="F304" s="63" t="n">
        <x:v>2</x:v>
      </x:c>
      <x:c r="G304" s="54" t="str">
        <x:v>RECONSTRUCTED</x:v>
      </x:c>
      <x:c r="H304" s="54" t="str">
        <x:v>QAR-0001 &gt; QAR-0006 &gt; OFT-0015 &gt; KIT-0024 &gt; PRT-0120</x:v>
      </x:c>
      <x:c r="I304"/>
    </x:row>
    <x:row r="305">
      <x:c r="A305" s="63" t="n">
        <x:v>4</x:v>
      </x:c>
      <x:c r="B305" s="63" t="str">
        <x:v>KIT-0024</x:v>
      </x:c>
      <x:c r="C305" s="63" t="str">
        <x:v>MAT-0010</x:v>
      </x:c>
      <x:c r="D305" s="63" t="str">
        <x:v>Oakum Bale, 25 lb</x:v>
      </x:c>
      <x:c r="E305" s="63" t="n">
        <x:v>1</x:v>
      </x:c>
      <x:c r="F305" s="63" t="n">
        <x:v>1</x:v>
      </x:c>
      <x:c r="G305" s="54" t="str">
        <x:v>RECONSTRUCTED</x:v>
      </x:c>
      <x:c r="H305" s="54" t="str">
        <x:v>QAR-0001 &gt; QAR-0006 &gt; OFT-0015 &gt; KIT-0024 &gt; MAT-0010</x:v>
      </x:c>
      <x:c r="I305"/>
    </x:row>
    <x:row r="306">
      <x:c r="A306" s="63" t="n">
        <x:v>4</x:v>
      </x:c>
      <x:c r="B306" s="63" t="str">
        <x:v>KIT-0024</x:v>
      </x:c>
      <x:c r="C306" s="63" t="str">
        <x:v>MAT-0011</x:v>
      </x:c>
      <x:c r="D306" s="63" t="str">
        <x:v>Pine Pitch Keg, 25 lb</x:v>
      </x:c>
      <x:c r="E306" s="63" t="n">
        <x:v>1</x:v>
      </x:c>
      <x:c r="F306" s="63" t="n">
        <x:v>1</x:v>
      </x:c>
      <x:c r="G306" s="54" t="str">
        <x:v>RECONSTRUCTED</x:v>
      </x:c>
      <x:c r="H306" s="54" t="str">
        <x:v>QAR-0001 &gt; QAR-0006 &gt; OFT-0015 &gt; KIT-0024 &gt; MAT-0011</x:v>
      </x:c>
      <x:c r="I306"/>
    </x:row>
    <x:row r="307">
      <x:c r="A307" s="63" t="n">
        <x:v>4</x:v>
      </x:c>
      <x:c r="B307" s="63" t="str">
        <x:v>KIT-0024</x:v>
      </x:c>
      <x:c r="C307" s="63" t="str">
        <x:v>PRT-0116</x:v>
      </x:c>
      <x:c r="D307" s="63" t="str">
        <x:v>Claw Hammer</x:v>
      </x:c>
      <x:c r="E307" s="63" t="n">
        <x:v>1</x:v>
      </x:c>
      <x:c r="F307" s="63" t="n">
        <x:v>1</x:v>
      </x:c>
      <x:c r="G307" s="54" t="str">
        <x:v>RECONSTRUCTED</x:v>
      </x:c>
      <x:c r="H307" s="54" t="str">
        <x:v>QAR-0001 &gt; QAR-0006 &gt; OFT-0015 &gt; KIT-0024 &gt; PRT-0116</x:v>
      </x:c>
      <x:c r="I307"/>
    </x:row>
    <x:row r="308">
      <x:c r="A308" s="63" t="n">
        <x:v>4</x:v>
      </x:c>
      <x:c r="B308" s="63" t="str">
        <x:v>KIT-0024</x:v>
      </x:c>
      <x:c r="C308" s="63" t="str">
        <x:v>PRT-0002</x:v>
      </x:c>
      <x:c r="D308" s="63" t="str">
        <x:v>Large Wrought-Iron Hull Spike</x:v>
      </x:c>
      <x:c r="E308" s="63" t="n">
        <x:v>12</x:v>
      </x:c>
      <x:c r="F308" s="63" t="n">
        <x:v>12</x:v>
      </x:c>
      <x:c r="G308" s="54" t="str">
        <x:v>RECOVERED</x:v>
      </x:c>
      <x:c r="H308" s="54" t="str">
        <x:v>QAR-0001 &gt; QAR-0006 &gt; OFT-0015 &gt; KIT-0024 &gt; PRT-0002</x:v>
      </x:c>
      <x:c r="I308"/>
    </x:row>
    <x:row r="309">
      <x:c r="A309" s="63" t="n">
        <x:v>4</x:v>
      </x:c>
      <x:c r="B309" s="63" t="str">
        <x:v>KIT-0024</x:v>
      </x:c>
      <x:c r="C309" s="63" t="str">
        <x:v>LBL-0014</x:v>
      </x:c>
      <x:c r="D309" s="63" t="str">
        <x:v>General Kit Identification Label</x:v>
      </x:c>
      <x:c r="E309" s="63" t="n">
        <x:v>1</x:v>
      </x:c>
      <x:c r="F309" s="63" t="n">
        <x:v>1</x:v>
      </x:c>
      <x:c r="G309" s="54" t="str">
        <x:v>FICTIONAL</x:v>
      </x:c>
      <x:c r="H309" s="54" t="str">
        <x:v>QAR-0001 &gt; QAR-0006 &gt; OFT-0015 &gt; KIT-0024 &gt; LBL-0014</x:v>
      </x:c>
      <x:c r="I309"/>
    </x:row>
    <x:row r="310">
      <x:c r="A310" s="63" t="n">
        <x:v>1</x:v>
      </x:c>
      <x:c r="B310" s="63" t="str">
        <x:v>QAR-0001</x:v>
      </x:c>
      <x:c r="C310" s="63" t="str">
        <x:v>QAR-0007</x:v>
      </x:c>
      <x:c r="D310" s="63" t="str">
        <x:v>Navigation and Signaling Outfit</x:v>
      </x:c>
      <x:c r="E310" s="63" t="n">
        <x:v>1</x:v>
      </x:c>
      <x:c r="F310" s="63" t="n">
        <x:v>1</x:v>
      </x:c>
      <x:c r="G310" s="54" t="str">
        <x:v>RECONSTRUCTED</x:v>
      </x:c>
      <x:c r="H310" s="54" t="str">
        <x:v>QAR-0001 &gt; QAR-0007</x:v>
      </x:c>
      <x:c r="I310"/>
    </x:row>
    <x:row r="311">
      <x:c r="A311" s="63" t="n">
        <x:v>2</x:v>
      </x:c>
      <x:c r="B311" s="63" t="str">
        <x:v>QAR-0007</x:v>
      </x:c>
      <x:c r="C311" s="63" t="str">
        <x:v>KIT-0025</x:v>
      </x:c>
      <x:c r="D311" s="63" t="str">
        <x:v>Navigator's Instrument Chest</x:v>
      </x:c>
      <x:c r="E311" s="63" t="n">
        <x:v>1</x:v>
      </x:c>
      <x:c r="F311" s="63" t="n">
        <x:v>1</x:v>
      </x:c>
      <x:c r="G311" s="54" t="str">
        <x:v>RECONSTRUCTED</x:v>
      </x:c>
      <x:c r="H311" s="54" t="str">
        <x:v>QAR-0001 &gt; QAR-0007 &gt; KIT-0025</x:v>
      </x:c>
      <x:c r="I311"/>
    </x:row>
    <x:row r="312">
      <x:c r="A312" s="63" t="n">
        <x:v>3</x:v>
      </x:c>
      <x:c r="B312" s="63" t="str">
        <x:v>KIT-0025</x:v>
      </x:c>
      <x:c r="C312" s="63" t="str">
        <x:v>ASM-0031</x:v>
      </x:c>
      <x:c r="D312" s="63" t="str">
        <x:v>Mariner's Compass in Box</x:v>
      </x:c>
      <x:c r="E312" s="63" t="n">
        <x:v>2</x:v>
      </x:c>
      <x:c r="F312" s="63" t="n">
        <x:v>2</x:v>
      </x:c>
      <x:c r="G312" s="54" t="str">
        <x:v>RECONSTRUCTED</x:v>
      </x:c>
      <x:c r="H312" s="54" t="str">
        <x:v>QAR-0001 &gt; QAR-0007 &gt; KIT-0025 &gt; ASM-0031</x:v>
      </x:c>
      <x:c r="I312"/>
    </x:row>
    <x:row r="313">
      <x:c r="A313" s="63" t="n">
        <x:v>3</x:v>
      </x:c>
      <x:c r="B313" s="63" t="str">
        <x:v>KIT-0025</x:v>
      </x:c>
      <x:c r="C313" s="63" t="str">
        <x:v>PRT-0103</x:v>
      </x:c>
      <x:c r="D313" s="63" t="str">
        <x:v>Backstaff</x:v>
      </x:c>
      <x:c r="E313" s="63" t="n">
        <x:v>1</x:v>
      </x:c>
      <x:c r="F313" s="63" t="n">
        <x:v>1</x:v>
      </x:c>
      <x:c r="G313" s="54" t="str">
        <x:v>RECONSTRUCTED</x:v>
      </x:c>
      <x:c r="H313" s="54" t="str">
        <x:v>QAR-0001 &gt; QAR-0007 &gt; KIT-0025 &gt; PRT-0103</x:v>
      </x:c>
      <x:c r="I313"/>
    </x:row>
    <x:row r="314">
      <x:c r="A314" s="63" t="n">
        <x:v>3</x:v>
      </x:c>
      <x:c r="B314" s="63" t="str">
        <x:v>KIT-0025</x:v>
      </x:c>
      <x:c r="C314" s="63" t="str">
        <x:v>ASM-0032</x:v>
      </x:c>
      <x:c r="D314" s="63" t="str">
        <x:v>Cross-Staff and Universal Mount</x:v>
      </x:c>
      <x:c r="E314" s="63" t="n">
        <x:v>1</x:v>
      </x:c>
      <x:c r="F314" s="63" t="n">
        <x:v>1</x:v>
      </x:c>
      <x:c r="G314" s="54" t="str">
        <x:v>RECOVERED</x:v>
      </x:c>
      <x:c r="H314" s="54" t="str">
        <x:v>QAR-0001 &gt; QAR-0007 &gt; KIT-0025 &gt; ASM-0032</x:v>
      </x:c>
      <x:c r="I314"/>
    </x:row>
    <x:row r="315">
      <x:c r="A315" s="63" t="n">
        <x:v>3</x:v>
      </x:c>
      <x:c r="B315" s="63" t="str">
        <x:v>KIT-0025</x:v>
      </x:c>
      <x:c r="C315" s="63" t="str">
        <x:v>PRT-0104</x:v>
      </x:c>
      <x:c r="D315" s="63" t="str">
        <x:v>Brass Navigational Sector</x:v>
      </x:c>
      <x:c r="E315" s="63" t="n">
        <x:v>1</x:v>
      </x:c>
      <x:c r="F315" s="63" t="n">
        <x:v>1</x:v>
      </x:c>
      <x:c r="G315" s="54" t="str">
        <x:v>RECOVERED</x:v>
      </x:c>
      <x:c r="H315" s="54" t="str">
        <x:v>QAR-0001 &gt; QAR-0007 &gt; KIT-0025 &gt; PRT-0104</x:v>
      </x:c>
      <x:c r="I315"/>
    </x:row>
    <x:row r="316">
      <x:c r="A316" s="63" t="n">
        <x:v>3</x:v>
      </x:c>
      <x:c r="B316" s="63" t="str">
        <x:v>KIT-0025</x:v>
      </x:c>
      <x:c r="C316" s="63" t="str">
        <x:v>PRT-0105</x:v>
      </x:c>
      <x:c r="D316" s="63" t="str">
        <x:v>Brass Dividers</x:v>
      </x:c>
      <x:c r="E316" s="63" t="n">
        <x:v>2</x:v>
      </x:c>
      <x:c r="F316" s="63" t="n">
        <x:v>2</x:v>
      </x:c>
      <x:c r="G316" s="54" t="str">
        <x:v>RECOVERED</x:v>
      </x:c>
      <x:c r="H316" s="54" t="str">
        <x:v>QAR-0001 &gt; QAR-0007 &gt; KIT-0025 &gt; PRT-0105</x:v>
      </x:c>
      <x:c r="I316"/>
    </x:row>
    <x:row r="317">
      <x:c r="A317" s="63" t="n">
        <x:v>3</x:v>
      </x:c>
      <x:c r="B317" s="63" t="str">
        <x:v>KIT-0025</x:v>
      </x:c>
      <x:c r="C317" s="63" t="str">
        <x:v>PRT-0106</x:v>
      </x:c>
      <x:c r="D317" s="63" t="str">
        <x:v>Thirty-Minute Sandglass</x:v>
      </x:c>
      <x:c r="E317" s="63" t="n">
        <x:v>4</x:v>
      </x:c>
      <x:c r="F317" s="63" t="n">
        <x:v>4</x:v>
      </x:c>
      <x:c r="G317" s="54" t="str">
        <x:v>RECONSTRUCTED</x:v>
      </x:c>
      <x:c r="H317" s="54" t="str">
        <x:v>QAR-0001 &gt; QAR-0007 &gt; KIT-0025 &gt; PRT-0106</x:v>
      </x:c>
      <x:c r="I317"/>
    </x:row>
    <x:row r="318">
      <x:c r="A318" s="63" t="n">
        <x:v>3</x:v>
      </x:c>
      <x:c r="B318" s="63" t="str">
        <x:v>KIT-0025</x:v>
      </x:c>
      <x:c r="C318" s="63" t="str">
        <x:v>PRT-0107</x:v>
      </x:c>
      <x:c r="D318" s="63" t="str">
        <x:v>Twenty-Eight-Second Log Glass</x:v>
      </x:c>
      <x:c r="E318" s="63" t="n">
        <x:v>2</x:v>
      </x:c>
      <x:c r="F318" s="63" t="n">
        <x:v>2</x:v>
      </x:c>
      <x:c r="G318" s="54" t="str">
        <x:v>RECONSTRUCTED</x:v>
      </x:c>
      <x:c r="H318" s="54" t="str">
        <x:v>QAR-0001 &gt; QAR-0007 &gt; KIT-0025 &gt; PRT-0107</x:v>
      </x:c>
      <x:c r="I318"/>
    </x:row>
    <x:row r="319">
      <x:c r="A319" s="63" t="n">
        <x:v>3</x:v>
      </x:c>
      <x:c r="B319" s="63" t="str">
        <x:v>KIT-0025</x:v>
      </x:c>
      <x:c r="C319" s="63" t="str">
        <x:v>ASM-0033</x:v>
      </x:c>
      <x:c r="D319" s="63" t="str">
        <x:v>Chip Log and Knotted Line</x:v>
      </x:c>
      <x:c r="E319" s="63" t="n">
        <x:v>2</x:v>
      </x:c>
      <x:c r="F319" s="63" t="n">
        <x:v>2</x:v>
      </x:c>
      <x:c r="G319" s="54" t="str">
        <x:v>RECONSTRUCTED</x:v>
      </x:c>
      <x:c r="H319" s="54" t="str">
        <x:v>QAR-0001 &gt; QAR-0007 &gt; KIT-0025 &gt; ASM-0033</x:v>
      </x:c>
      <x:c r="I319"/>
    </x:row>
    <x:row r="320">
      <x:c r="A320" s="63" t="n">
        <x:v>3</x:v>
      </x:c>
      <x:c r="B320" s="63" t="str">
        <x:v>KIT-0025</x:v>
      </x:c>
      <x:c r="C320" s="63" t="str">
        <x:v>ASM-0034</x:v>
      </x:c>
      <x:c r="D320" s="63" t="str">
        <x:v>Traverse Board</x:v>
      </x:c>
      <x:c r="E320" s="63" t="n">
        <x:v>1</x:v>
      </x:c>
      <x:c r="F320" s="63" t="n">
        <x:v>1</x:v>
      </x:c>
      <x:c r="G320" s="54" t="str">
        <x:v>RECONSTRUCTED</x:v>
      </x:c>
      <x:c r="H320" s="54" t="str">
        <x:v>QAR-0001 &gt; QAR-0007 &gt; KIT-0025 &gt; ASM-0034</x:v>
      </x:c>
      <x:c r="I320"/>
    </x:row>
    <x:row r="321">
      <x:c r="A321" s="63" t="n">
        <x:v>3</x:v>
      </x:c>
      <x:c r="B321" s="63" t="str">
        <x:v>KIT-0025</x:v>
      </x:c>
      <x:c r="C321" s="63" t="str">
        <x:v>PRT-0108</x:v>
      </x:c>
      <x:c r="D321" s="63" t="str">
        <x:v>Draw-Tube Spyglass</x:v>
      </x:c>
      <x:c r="E321" s="63" t="n">
        <x:v>2</x:v>
      </x:c>
      <x:c r="F321" s="63" t="n">
        <x:v>2</x:v>
      </x:c>
      <x:c r="G321" s="54" t="str">
        <x:v>RECONSTRUCTED</x:v>
      </x:c>
      <x:c r="H321" s="54" t="str">
        <x:v>QAR-0001 &gt; QAR-0007 &gt; KIT-0025 &gt; PRT-0108</x:v>
      </x:c>
      <x:c r="I321"/>
    </x:row>
    <x:row r="322">
      <x:c r="A322" s="63" t="n">
        <x:v>3</x:v>
      </x:c>
      <x:c r="B322" s="63" t="str">
        <x:v>KIT-0025</x:v>
      </x:c>
      <x:c r="C322" s="63" t="str">
        <x:v>PKG-0006</x:v>
      </x:c>
      <x:c r="D322" s="63" t="str">
        <x:v>Waxed Chart Case</x:v>
      </x:c>
      <x:c r="E322" s="63" t="n">
        <x:v>2</x:v>
      </x:c>
      <x:c r="F322" s="63" t="n">
        <x:v>2</x:v>
      </x:c>
      <x:c r="G322" s="54" t="str">
        <x:v>RECONSTRUCTED</x:v>
      </x:c>
      <x:c r="H322" s="54" t="str">
        <x:v>QAR-0001 &gt; QAR-0007 &gt; KIT-0025 &gt; PKG-0006</x:v>
      </x:c>
      <x:c r="I322"/>
    </x:row>
    <x:row r="323">
      <x:c r="A323" s="63" t="n">
        <x:v>3</x:v>
      </x:c>
      <x:c r="B323" s="63" t="str">
        <x:v>KIT-0025</x:v>
      </x:c>
      <x:c r="C323" s="63" t="str">
        <x:v>DOC-0001</x:v>
      </x:c>
      <x:c r="D323" s="63" t="str">
        <x:v>Carolina and Caribbean Coastal Chart Set</x:v>
      </x:c>
      <x:c r="E323" s="63" t="n">
        <x:v>1</x:v>
      </x:c>
      <x:c r="F323" s="63" t="n">
        <x:v>1</x:v>
      </x:c>
      <x:c r="G323" s="54" t="str">
        <x:v>RECONSTRUCTED</x:v>
      </x:c>
      <x:c r="H323" s="54" t="str">
        <x:v>QAR-0001 &gt; QAR-0007 &gt; KIT-0025 &gt; DOC-0001</x:v>
      </x:c>
      <x:c r="I323"/>
    </x:row>
    <x:row r="324">
      <x:c r="A324" s="63" t="n">
        <x:v>2</x:v>
      </x:c>
      <x:c r="B324" s="63" t="str">
        <x:v>QAR-0007</x:v>
      </x:c>
      <x:c r="C324" s="63" t="str">
        <x:v>KIT-0026</x:v>
      </x:c>
      <x:c r="D324" s="63" t="str">
        <x:v>Pilotage and Sounding Kit</x:v>
      </x:c>
      <x:c r="E324" s="63" t="n">
        <x:v>1</x:v>
      </x:c>
      <x:c r="F324" s="63" t="n">
        <x:v>1</x:v>
      </x:c>
      <x:c r="G324" s="54" t="str">
        <x:v>RECONSTRUCTED</x:v>
      </x:c>
      <x:c r="H324" s="54" t="str">
        <x:v>QAR-0001 &gt; QAR-0007 &gt; KIT-0026</x:v>
      </x:c>
      <x:c r="I324"/>
    </x:row>
    <x:row r="325">
      <x:c r="A325" s="63" t="n">
        <x:v>3</x:v>
      </x:c>
      <x:c r="B325" s="63" t="str">
        <x:v>KIT-0026</x:v>
      </x:c>
      <x:c r="C325" s="63" t="str">
        <x:v>PRT-0109</x:v>
      </x:c>
      <x:c r="D325" s="63" t="str">
        <x:v>Sounding Lead</x:v>
      </x:c>
      <x:c r="E325" s="63" t="n">
        <x:v>2</x:v>
      </x:c>
      <x:c r="F325" s="63" t="n">
        <x:v>2</x:v>
      </x:c>
      <x:c r="G325" s="54" t="str">
        <x:v>RECOVERED</x:v>
      </x:c>
      <x:c r="H325" s="54" t="str">
        <x:v>QAR-0001 &gt; QAR-0007 &gt; KIT-0026 &gt; PRT-0109</x:v>
      </x:c>
      <x:c r="I325"/>
    </x:row>
    <x:row r="326">
      <x:c r="A326" s="63" t="n">
        <x:v>3</x:v>
      </x:c>
      <x:c r="B326" s="63" t="str">
        <x:v>KIT-0026</x:v>
      </x:c>
      <x:c r="C326" s="63" t="str">
        <x:v>PRT-0110</x:v>
      </x:c>
      <x:c r="D326" s="63" t="str">
        <x:v>Sounding Line, 100 fathoms</x:v>
      </x:c>
      <x:c r="E326" s="63" t="n">
        <x:v>2</x:v>
      </x:c>
      <x:c r="F326" s="63" t="n">
        <x:v>2</x:v>
      </x:c>
      <x:c r="G326" s="54" t="str">
        <x:v>RECONSTRUCTED</x:v>
      </x:c>
      <x:c r="H326" s="54" t="str">
        <x:v>QAR-0001 &gt; QAR-0007 &gt; KIT-0026 &gt; PRT-0110</x:v>
      </x:c>
      <x:c r="I326"/>
    </x:row>
    <x:row r="327">
      <x:c r="A327" s="63" t="n">
        <x:v>3</x:v>
      </x:c>
      <x:c r="B327" s="63" t="str">
        <x:v>KIT-0026</x:v>
      </x:c>
      <x:c r="C327" s="63" t="str">
        <x:v>PRT-0111</x:v>
      </x:c>
      <x:c r="D327" s="63" t="str">
        <x:v>Brass Surveying Sight</x:v>
      </x:c>
      <x:c r="E327" s="63" t="n">
        <x:v>1</x:v>
      </x:c>
      <x:c r="F327" s="63" t="n">
        <x:v>1</x:v>
      </x:c>
      <x:c r="G327" s="54" t="str">
        <x:v>RECOVERED</x:v>
      </x:c>
      <x:c r="H327" s="54" t="str">
        <x:v>QAR-0001 &gt; QAR-0007 &gt; KIT-0026 &gt; PRT-0111</x:v>
      </x:c>
      <x:c r="I327"/>
    </x:row>
    <x:row r="328">
      <x:c r="A328" s="63" t="n">
        <x:v>3</x:v>
      </x:c>
      <x:c r="B328" s="63" t="str">
        <x:v>KIT-0026</x:v>
      </x:c>
      <x:c r="C328" s="63" t="str">
        <x:v>PRT-0105</x:v>
      </x:c>
      <x:c r="D328" s="63" t="str">
        <x:v>Brass Dividers</x:v>
      </x:c>
      <x:c r="E328" s="63" t="n">
        <x:v>1</x:v>
      </x:c>
      <x:c r="F328" s="63" t="n">
        <x:v>1</x:v>
      </x:c>
      <x:c r="G328" s="54" t="str">
        <x:v>RECOVERED</x:v>
      </x:c>
      <x:c r="H328" s="54" t="str">
        <x:v>QAR-0001 &gt; QAR-0007 &gt; KIT-0026 &gt; PRT-0105</x:v>
      </x:c>
      <x:c r="I328"/>
    </x:row>
    <x:row r="329">
      <x:c r="A329" s="63" t="n">
        <x:v>2</x:v>
      </x:c>
      <x:c r="B329" s="63" t="str">
        <x:v>QAR-0007</x:v>
      </x:c>
      <x:c r="C329" s="63" t="str">
        <x:v>OFT-0016</x:v>
      </x:c>
      <x:c r="D329" s="63" t="str">
        <x:v>Flags, Lanterns and Signal Outfit</x:v>
      </x:c>
      <x:c r="E329" s="63" t="n">
        <x:v>1</x:v>
      </x:c>
      <x:c r="F329" s="63" t="n">
        <x:v>1</x:v>
      </x:c>
      <x:c r="G329" s="54" t="str">
        <x:v>RECONSTRUCTED</x:v>
      </x:c>
      <x:c r="H329" s="54" t="str">
        <x:v>QAR-0001 &gt; QAR-0007 &gt; OFT-0016</x:v>
      </x:c>
      <x:c r="I329"/>
    </x:row>
    <x:row r="330">
      <x:c r="A330" s="63" t="n">
        <x:v>3</x:v>
      </x:c>
      <x:c r="B330" s="63" t="str">
        <x:v>OFT-0016</x:v>
      </x:c>
      <x:c r="C330" s="63" t="str">
        <x:v>KIT-0027</x:v>
      </x:c>
      <x:c r="D330" s="63" t="str">
        <x:v>Signal Flag Set</x:v>
      </x:c>
      <x:c r="E330" s="63" t="n">
        <x:v>1</x:v>
      </x:c>
      <x:c r="F330" s="63" t="n">
        <x:v>1</x:v>
      </x:c>
      <x:c r="G330" s="54" t="str">
        <x:v>RECONSTRUCTED</x:v>
      </x:c>
      <x:c r="H330" s="54" t="str">
        <x:v>QAR-0001 &gt; QAR-0007 &gt; OFT-0016 &gt; KIT-0027</x:v>
      </x:c>
      <x:c r="I330"/>
    </x:row>
    <x:row r="331">
      <x:c r="A331" s="63" t="n">
        <x:v>3</x:v>
      </x:c>
      <x:c r="B331" s="63" t="str">
        <x:v>OFT-0016</x:v>
      </x:c>
      <x:c r="C331" s="63" t="str">
        <x:v>QAR-0053</x:v>
      </x:c>
      <x:c r="D331" s="63" t="str">
        <x:v>Blackbeard Reconstruction Ensign</x:v>
      </x:c>
      <x:c r="E331" s="63" t="n">
        <x:v>2</x:v>
      </x:c>
      <x:c r="F331" s="63" t="n">
        <x:v>2</x:v>
      </x:c>
      <x:c r="G331" s="54" t="str">
        <x:v>FICTIONAL</x:v>
      </x:c>
      <x:c r="H331" s="54" t="str">
        <x:v>QAR-0001 &gt; QAR-0007 &gt; OFT-0016 &gt; QAR-0053</x:v>
      </x:c>
      <x:c r="I331"/>
    </x:row>
    <x:row r="332">
      <x:c r="A332" s="63" t="n">
        <x:v>3</x:v>
      </x:c>
      <x:c r="B332" s="63" t="str">
        <x:v>OFT-0016</x:v>
      </x:c>
      <x:c r="C332" s="63" t="str">
        <x:v>ASM-0035</x:v>
      </x:c>
      <x:c r="D332" s="63" t="str">
        <x:v>Enclosed Deck Lantern</x:v>
      </x:c>
      <x:c r="E332" s="63" t="n">
        <x:v>12</x:v>
      </x:c>
      <x:c r="F332" s="63" t="n">
        <x:v>12</x:v>
      </x:c>
      <x:c r="G332" s="54" t="str">
        <x:v>RECONSTRUCTED</x:v>
      </x:c>
      <x:c r="H332" s="54" t="str">
        <x:v>QAR-0001 &gt; QAR-0007 &gt; OFT-0016 &gt; ASM-0035</x:v>
      </x:c>
      <x:c r="I332"/>
    </x:row>
    <x:row r="333">
      <x:c r="A333" s="63" t="n">
        <x:v>3</x:v>
      </x:c>
      <x:c r="B333" s="63" t="str">
        <x:v>OFT-0016</x:v>
      </x:c>
      <x:c r="C333" s="63" t="str">
        <x:v>ASM-0036</x:v>
      </x:c>
      <x:c r="D333" s="63" t="str">
        <x:v>Small Signal Gun</x:v>
      </x:c>
      <x:c r="E333" s="63" t="n">
        <x:v>2</x:v>
      </x:c>
      <x:c r="F333" s="63" t="n">
        <x:v>2</x:v>
      </x:c>
      <x:c r="G333" s="54" t="str">
        <x:v>RECOVERED</x:v>
      </x:c>
      <x:c r="H333" s="54" t="str">
        <x:v>QAR-0001 &gt; QAR-0007 &gt; OFT-0016 &gt; ASM-0036</x:v>
      </x:c>
      <x:c r="I333"/>
    </x:row>
    <x:row r="334">
      <x:c r="A334" s="63" t="n">
        <x:v>1</x:v>
      </x:c>
      <x:c r="B334" s="63" t="str">
        <x:v>QAR-0001</x:v>
      </x:c>
      <x:c r="C334" s="63" t="str">
        <x:v>QAR-0008</x:v>
      </x:c>
      <x:c r="D334" s="63" t="str">
        <x:v>Carpenter and Hull Repair Stores</x:v>
      </x:c>
      <x:c r="E334" s="63" t="n">
        <x:v>1</x:v>
      </x:c>
      <x:c r="F334" s="63" t="n">
        <x:v>1</x:v>
      </x:c>
      <x:c r="G334" s="54" t="str">
        <x:v>RECONSTRUCTED</x:v>
      </x:c>
      <x:c r="H334" s="54" t="str">
        <x:v>QAR-0001 &gt; QAR-0008</x:v>
      </x:c>
      <x:c r="I334"/>
    </x:row>
    <x:row r="335">
      <x:c r="A335" s="63" t="n">
        <x:v>2</x:v>
      </x:c>
      <x:c r="B335" s="63" t="str">
        <x:v>QAR-0008</x:v>
      </x:c>
      <x:c r="C335" s="63" t="str">
        <x:v>KIT-0028</x:v>
      </x:c>
      <x:c r="D335" s="63" t="str">
        <x:v>Carpenter's Tool Chest</x:v>
      </x:c>
      <x:c r="E335" s="63" t="n">
        <x:v>1</x:v>
      </x:c>
      <x:c r="F335" s="63" t="n">
        <x:v>1</x:v>
      </x:c>
      <x:c r="G335" s="54" t="str">
        <x:v>RECONSTRUCTED</x:v>
      </x:c>
      <x:c r="H335" s="54" t="str">
        <x:v>QAR-0001 &gt; QAR-0008 &gt; KIT-0028</x:v>
      </x:c>
      <x:c r="I335"/>
    </x:row>
    <x:row r="336">
      <x:c r="A336" s="63" t="n">
        <x:v>3</x:v>
      </x:c>
      <x:c r="B336" s="63" t="str">
        <x:v>KIT-0028</x:v>
      </x:c>
      <x:c r="C336" s="63" t="str">
        <x:v>PRT-0112</x:v>
      </x:c>
      <x:c r="D336" s="63" t="str">
        <x:v>Broad Axe</x:v>
      </x:c>
      <x:c r="E336" s="63" t="n">
        <x:v>2</x:v>
      </x:c>
      <x:c r="F336" s="63" t="n">
        <x:v>2</x:v>
      </x:c>
      <x:c r="G336" s="54" t="str">
        <x:v>RECONSTRUCTED</x:v>
      </x:c>
      <x:c r="H336" s="54" t="str">
        <x:v>QAR-0001 &gt; QAR-0008 &gt; KIT-0028 &gt; PRT-0112</x:v>
      </x:c>
      <x:c r="I336"/>
    </x:row>
    <x:row r="337">
      <x:c r="A337" s="63" t="n">
        <x:v>3</x:v>
      </x:c>
      <x:c r="B337" s="63" t="str">
        <x:v>KIT-0028</x:v>
      </x:c>
      <x:c r="C337" s="63" t="str">
        <x:v>PRT-0113</x:v>
      </x:c>
      <x:c r="D337" s="63" t="str">
        <x:v>Shipwright's Adze</x:v>
      </x:c>
      <x:c r="E337" s="63" t="n">
        <x:v>4</x:v>
      </x:c>
      <x:c r="F337" s="63" t="n">
        <x:v>4</x:v>
      </x:c>
      <x:c r="G337" s="54" t="str">
        <x:v>RECONSTRUCTED</x:v>
      </x:c>
      <x:c r="H337" s="54" t="str">
        <x:v>QAR-0001 &gt; QAR-0008 &gt; KIT-0028 &gt; PRT-0113</x:v>
      </x:c>
      <x:c r="I337"/>
    </x:row>
    <x:row r="338">
      <x:c r="A338" s="63" t="n">
        <x:v>3</x:v>
      </x:c>
      <x:c r="B338" s="63" t="str">
        <x:v>KIT-0028</x:v>
      </x:c>
      <x:c r="C338" s="63" t="str">
        <x:v>PRT-0114</x:v>
      </x:c>
      <x:c r="D338" s="63" t="str">
        <x:v>Pit Saw</x:v>
      </x:c>
      <x:c r="E338" s="63" t="n">
        <x:v>1</x:v>
      </x:c>
      <x:c r="F338" s="63" t="n">
        <x:v>1</x:v>
      </x:c>
      <x:c r="G338" s="54" t="str">
        <x:v>RECONSTRUCTED</x:v>
      </x:c>
      <x:c r="H338" s="54" t="str">
        <x:v>QAR-0001 &gt; QAR-0008 &gt; KIT-0028 &gt; PRT-0114</x:v>
      </x:c>
      <x:c r="I338"/>
    </x:row>
    <x:row r="339">
      <x:c r="A339" s="63" t="n">
        <x:v>3</x:v>
      </x:c>
      <x:c r="B339" s="63" t="str">
        <x:v>KIT-0028</x:v>
      </x:c>
      <x:c r="C339" s="63" t="str">
        <x:v>PRT-0115</x:v>
      </x:c>
      <x:c r="D339" s="63" t="str">
        <x:v>Carpenter's Hand Saw</x:v>
      </x:c>
      <x:c r="E339" s="63" t="n">
        <x:v>4</x:v>
      </x:c>
      <x:c r="F339" s="63" t="n">
        <x:v>4</x:v>
      </x:c>
      <x:c r="G339" s="54" t="str">
        <x:v>RECONSTRUCTED</x:v>
      </x:c>
      <x:c r="H339" s="54" t="str">
        <x:v>QAR-0001 &gt; QAR-0008 &gt; KIT-0028 &gt; PRT-0115</x:v>
      </x:c>
      <x:c r="I339"/>
    </x:row>
    <x:row r="340">
      <x:c r="A340" s="63" t="n">
        <x:v>3</x:v>
      </x:c>
      <x:c r="B340" s="63" t="str">
        <x:v>KIT-0028</x:v>
      </x:c>
      <x:c r="C340" s="63" t="str">
        <x:v>KIT-0031</x:v>
      </x:c>
      <x:c r="D340" s="63" t="str">
        <x:v>Ship Auger Set</x:v>
      </x:c>
      <x:c r="E340" s="63" t="n">
        <x:v>2</x:v>
      </x:c>
      <x:c r="F340" s="63" t="n">
        <x:v>2</x:v>
      </x:c>
      <x:c r="G340" s="54" t="str">
        <x:v>RECONSTRUCTED</x:v>
      </x:c>
      <x:c r="H340" s="54" t="str">
        <x:v>QAR-0001 &gt; QAR-0008 &gt; KIT-0028 &gt; KIT-0031</x:v>
      </x:c>
      <x:c r="I340"/>
    </x:row>
    <x:row r="341">
      <x:c r="A341" s="63" t="n">
        <x:v>3</x:v>
      </x:c>
      <x:c r="B341" s="63" t="str">
        <x:v>KIT-0028</x:v>
      </x:c>
      <x:c r="C341" s="63" t="str">
        <x:v>KIT-0032</x:v>
      </x:c>
      <x:c r="D341" s="63" t="str">
        <x:v>Chisel and Gouge Set</x:v>
      </x:c>
      <x:c r="E341" s="63" t="n">
        <x:v>2</x:v>
      </x:c>
      <x:c r="F341" s="63" t="n">
        <x:v>2</x:v>
      </x:c>
      <x:c r="G341" s="54" t="str">
        <x:v>RECOVERED</x:v>
      </x:c>
      <x:c r="H341" s="54" t="str">
        <x:v>QAR-0001 &gt; QAR-0008 &gt; KIT-0028 &gt; KIT-0032</x:v>
      </x:c>
      <x:c r="I341"/>
    </x:row>
    <x:row r="342">
      <x:c r="A342" s="63" t="n">
        <x:v>3</x:v>
      </x:c>
      <x:c r="B342" s="63" t="str">
        <x:v>KIT-0028</x:v>
      </x:c>
      <x:c r="C342" s="63" t="str">
        <x:v>PRT-0116</x:v>
      </x:c>
      <x:c r="D342" s="63" t="str">
        <x:v>Claw Hammer</x:v>
      </x:c>
      <x:c r="E342" s="63" t="n">
        <x:v>4</x:v>
      </x:c>
      <x:c r="F342" s="63" t="n">
        <x:v>4</x:v>
      </x:c>
      <x:c r="G342" s="54" t="str">
        <x:v>RECONSTRUCTED</x:v>
      </x:c>
      <x:c r="H342" s="54" t="str">
        <x:v>QAR-0001 &gt; QAR-0008 &gt; KIT-0028 &gt; PRT-0116</x:v>
      </x:c>
      <x:c r="I342"/>
    </x:row>
    <x:row r="343">
      <x:c r="A343" s="63" t="n">
        <x:v>3</x:v>
      </x:c>
      <x:c r="B343" s="63" t="str">
        <x:v>KIT-0028</x:v>
      </x:c>
      <x:c r="C343" s="63" t="str">
        <x:v>PRT-0117</x:v>
      </x:c>
      <x:c r="D343" s="63" t="str">
        <x:v>Large Wooden Mallet</x:v>
      </x:c>
      <x:c r="E343" s="63" t="n">
        <x:v>4</x:v>
      </x:c>
      <x:c r="F343" s="63" t="n">
        <x:v>4</x:v>
      </x:c>
      <x:c r="G343" s="54" t="str">
        <x:v>RECONSTRUCTED</x:v>
      </x:c>
      <x:c r="H343" s="54" t="str">
        <x:v>QAR-0001 &gt; QAR-0008 &gt; KIT-0028 &gt; PRT-0117</x:v>
      </x:c>
      <x:c r="I343"/>
    </x:row>
    <x:row r="344">
      <x:c r="A344" s="63" t="n">
        <x:v>3</x:v>
      </x:c>
      <x:c r="B344" s="63" t="str">
        <x:v>KIT-0028</x:v>
      </x:c>
      <x:c r="C344" s="63" t="str">
        <x:v>PRT-0118</x:v>
      </x:c>
      <x:c r="D344" s="63" t="str">
        <x:v>Iron Crowbar</x:v>
      </x:c>
      <x:c r="E344" s="63" t="n">
        <x:v>4</x:v>
      </x:c>
      <x:c r="F344" s="63" t="n">
        <x:v>4</x:v>
      </x:c>
      <x:c r="G344" s="54" t="str">
        <x:v>RECONSTRUCTED</x:v>
      </x:c>
      <x:c r="H344" s="54" t="str">
        <x:v>QAR-0001 &gt; QAR-0008 &gt; KIT-0028 &gt; PRT-0118</x:v>
      </x:c>
      <x:c r="I344"/>
    </x:row>
    <x:row r="345">
      <x:c r="A345" s="63" t="n">
        <x:v>2</x:v>
      </x:c>
      <x:c r="B345" s="63" t="str">
        <x:v>QAR-0008</x:v>
      </x:c>
      <x:c r="C345" s="63" t="str">
        <x:v>KIT-0029</x:v>
      </x:c>
      <x:c r="D345" s="63" t="str">
        <x:v>Caulking and Sealing Chest</x:v>
      </x:c>
      <x:c r="E345" s="63" t="n">
        <x:v>2</x:v>
      </x:c>
      <x:c r="F345" s="63" t="n">
        <x:v>2</x:v>
      </x:c>
      <x:c r="G345" s="54" t="str">
        <x:v>RECONSTRUCTED</x:v>
      </x:c>
      <x:c r="H345" s="54" t="str">
        <x:v>QAR-0001 &gt; QAR-0008 &gt; KIT-0029</x:v>
      </x:c>
      <x:c r="I345"/>
    </x:row>
    <x:row r="346">
      <x:c r="A346" s="63" t="n">
        <x:v>3</x:v>
      </x:c>
      <x:c r="B346" s="63" t="str">
        <x:v>KIT-0029</x:v>
      </x:c>
      <x:c r="C346" s="63" t="str">
        <x:v>PRT-0119</x:v>
      </x:c>
      <x:c r="D346" s="63" t="str">
        <x:v>Caulking Iron</x:v>
      </x:c>
      <x:c r="E346" s="63" t="n">
        <x:v>12</x:v>
      </x:c>
      <x:c r="F346" s="63" t="n">
        <x:v>24</x:v>
      </x:c>
      <x:c r="G346" s="54" t="str">
        <x:v>RECONSTRUCTED</x:v>
      </x:c>
      <x:c r="H346" s="54" t="str">
        <x:v>QAR-0001 &gt; QAR-0008 &gt; KIT-0029 &gt; PRT-0119</x:v>
      </x:c>
      <x:c r="I346"/>
    </x:row>
    <x:row r="347">
      <x:c r="A347" s="63" t="n">
        <x:v>3</x:v>
      </x:c>
      <x:c r="B347" s="63" t="str">
        <x:v>KIT-0029</x:v>
      </x:c>
      <x:c r="C347" s="63" t="str">
        <x:v>PRT-0117</x:v>
      </x:c>
      <x:c r="D347" s="63" t="str">
        <x:v>Large Wooden Mallet</x:v>
      </x:c>
      <x:c r="E347" s="63" t="n">
        <x:v>4</x:v>
      </x:c>
      <x:c r="F347" s="63" t="n">
        <x:v>8</x:v>
      </x:c>
      <x:c r="G347" s="54" t="str">
        <x:v>RECONSTRUCTED</x:v>
      </x:c>
      <x:c r="H347" s="54" t="str">
        <x:v>QAR-0001 &gt; QAR-0008 &gt; KIT-0029 &gt; PRT-0117</x:v>
      </x:c>
      <x:c r="I347"/>
    </x:row>
    <x:row r="348">
      <x:c r="A348" s="63" t="n">
        <x:v>3</x:v>
      </x:c>
      <x:c r="B348" s="63" t="str">
        <x:v>KIT-0029</x:v>
      </x:c>
      <x:c r="C348" s="63" t="str">
        <x:v>MAT-0010</x:v>
      </x:c>
      <x:c r="D348" s="63" t="str">
        <x:v>Oakum Bale, 25 lb</x:v>
      </x:c>
      <x:c r="E348" s="63" t="n">
        <x:v>4</x:v>
      </x:c>
      <x:c r="F348" s="63" t="n">
        <x:v>8</x:v>
      </x:c>
      <x:c r="G348" s="54" t="str">
        <x:v>RECONSTRUCTED</x:v>
      </x:c>
      <x:c r="H348" s="54" t="str">
        <x:v>QAR-0001 &gt; QAR-0008 &gt; KIT-0029 &gt; MAT-0010</x:v>
      </x:c>
      <x:c r="I348"/>
    </x:row>
    <x:row r="349">
      <x:c r="A349" s="63" t="n">
        <x:v>3</x:v>
      </x:c>
      <x:c r="B349" s="63" t="str">
        <x:v>KIT-0029</x:v>
      </x:c>
      <x:c r="C349" s="63" t="str">
        <x:v>MAT-0011</x:v>
      </x:c>
      <x:c r="D349" s="63" t="str">
        <x:v>Pine Pitch Keg, 25 lb</x:v>
      </x:c>
      <x:c r="E349" s="63" t="n">
        <x:v>4</x:v>
      </x:c>
      <x:c r="F349" s="63" t="n">
        <x:v>8</x:v>
      </x:c>
      <x:c r="G349" s="54" t="str">
        <x:v>RECONSTRUCTED</x:v>
      </x:c>
      <x:c r="H349" s="54" t="str">
        <x:v>QAR-0001 &gt; QAR-0008 &gt; KIT-0029 &gt; MAT-0011</x:v>
      </x:c>
      <x:c r="I349"/>
    </x:row>
    <x:row r="350">
      <x:c r="A350" s="63" t="n">
        <x:v>3</x:v>
      </x:c>
      <x:c r="B350" s="63" t="str">
        <x:v>KIT-0029</x:v>
      </x:c>
      <x:c r="C350" s="63" t="str">
        <x:v>PRT-0004</x:v>
      </x:c>
      <x:c r="D350" s="63" t="str">
        <x:v>Hull Sealing Lead Strip</x:v>
      </x:c>
      <x:c r="E350" s="63" t="n">
        <x:v>12</x:v>
      </x:c>
      <x:c r="F350" s="63" t="n">
        <x:v>24</x:v>
      </x:c>
      <x:c r="G350" s="54" t="str">
        <x:v>RECOVERED</x:v>
      </x:c>
      <x:c r="H350" s="54" t="str">
        <x:v>QAR-0001 &gt; QAR-0008 &gt; KIT-0029 &gt; PRT-0004</x:v>
      </x:c>
      <x:c r="I350"/>
    </x:row>
    <x:row r="351">
      <x:c r="A351" s="63" t="n">
        <x:v>2</x:v>
      </x:c>
      <x:c r="B351" s="63" t="str">
        <x:v>QAR-0008</x:v>
      </x:c>
      <x:c r="C351" s="63" t="str">
        <x:v>KIT-0030</x:v>
      </x:c>
      <x:c r="D351" s="63" t="str">
        <x:v>Emergency Hull Patch Kit</x:v>
      </x:c>
      <x:c r="E351" s="63" t="n">
        <x:v>4</x:v>
      </x:c>
      <x:c r="F351" s="63" t="n">
        <x:v>4</x:v>
      </x:c>
      <x:c r="G351" s="54" t="str">
        <x:v>RECONSTRUCTED</x:v>
      </x:c>
      <x:c r="H351" s="54" t="str">
        <x:v>QAR-0001 &gt; QAR-0008 &gt; KIT-0030</x:v>
      </x:c>
      <x:c r="I351"/>
    </x:row>
    <x:row r="352">
      <x:c r="A352" s="63" t="n">
        <x:v>3</x:v>
      </x:c>
      <x:c r="B352" s="63" t="str">
        <x:v>KIT-0030</x:v>
      </x:c>
      <x:c r="C352" s="63" t="str">
        <x:v>PRT-0120</x:v>
      </x:c>
      <x:c r="D352" s="63" t="str">
        <x:v>Emergency Patch Plank</x:v>
      </x:c>
      <x:c r="E352" s="63" t="n">
        <x:v>8</x:v>
      </x:c>
      <x:c r="F352" s="63" t="n">
        <x:v>32</x:v>
      </x:c>
      <x:c r="G352" s="54" t="str">
        <x:v>RECONSTRUCTED</x:v>
      </x:c>
      <x:c r="H352" s="54" t="str">
        <x:v>QAR-0001 &gt; QAR-0008 &gt; KIT-0030 &gt; PRT-0120</x:v>
      </x:c>
      <x:c r="I352"/>
    </x:row>
    <x:row r="353">
      <x:c r="A353" s="63" t="n">
        <x:v>3</x:v>
      </x:c>
      <x:c r="B353" s="63" t="str">
        <x:v>KIT-0030</x:v>
      </x:c>
      <x:c r="C353" s="63" t="str">
        <x:v>PRT-0121</x:v>
      </x:c>
      <x:c r="D353" s="63" t="str">
        <x:v>Heavy Collision Canvas, 12 x 12 ft</x:v>
      </x:c>
      <x:c r="E353" s="63" t="n">
        <x:v>2</x:v>
      </x:c>
      <x:c r="F353" s="63" t="n">
        <x:v>8</x:v>
      </x:c>
      <x:c r="G353" s="54" t="str">
        <x:v>RECONSTRUCTED</x:v>
      </x:c>
      <x:c r="H353" s="54" t="str">
        <x:v>QAR-0001 &gt; QAR-0008 &gt; KIT-0030 &gt; PRT-0121</x:v>
      </x:c>
      <x:c r="I353"/>
    </x:row>
    <x:row r="354">
      <x:c r="A354" s="63" t="n">
        <x:v>3</x:v>
      </x:c>
      <x:c r="B354" s="63" t="str">
        <x:v>KIT-0030</x:v>
      </x:c>
      <x:c r="C354" s="63" t="str">
        <x:v>MAT-0010</x:v>
      </x:c>
      <x:c r="D354" s="63" t="str">
        <x:v>Oakum Bale, 25 lb</x:v>
      </x:c>
      <x:c r="E354" s="63" t="n">
        <x:v>2</x:v>
      </x:c>
      <x:c r="F354" s="63" t="n">
        <x:v>8</x:v>
      </x:c>
      <x:c r="G354" s="54" t="str">
        <x:v>RECONSTRUCTED</x:v>
      </x:c>
      <x:c r="H354" s="54" t="str">
        <x:v>QAR-0001 &gt; QAR-0008 &gt; KIT-0030 &gt; MAT-0010</x:v>
      </x:c>
      <x:c r="I354"/>
    </x:row>
    <x:row r="355">
      <x:c r="A355" s="63" t="n">
        <x:v>3</x:v>
      </x:c>
      <x:c r="B355" s="63" t="str">
        <x:v>KIT-0030</x:v>
      </x:c>
      <x:c r="C355" s="63" t="str">
        <x:v>PRT-0002</x:v>
      </x:c>
      <x:c r="D355" s="63" t="str">
        <x:v>Large Wrought-Iron Hull Spike</x:v>
      </x:c>
      <x:c r="E355" s="63" t="n">
        <x:v>40</x:v>
      </x:c>
      <x:c r="F355" s="63" t="n">
        <x:v>160</x:v>
      </x:c>
      <x:c r="G355" s="54" t="str">
        <x:v>RECOVERED</x:v>
      </x:c>
      <x:c r="H355" s="54" t="str">
        <x:v>QAR-0001 &gt; QAR-0008 &gt; KIT-0030 &gt; PRT-0002</x:v>
      </x:c>
      <x:c r="I355"/>
    </x:row>
    <x:row r="356">
      <x:c r="A356" s="63" t="n">
        <x:v>3</x:v>
      </x:c>
      <x:c r="B356" s="63" t="str">
        <x:v>KIT-0030</x:v>
      </x:c>
      <x:c r="C356" s="63" t="str">
        <x:v>PRT-0116</x:v>
      </x:c>
      <x:c r="D356" s="63" t="str">
        <x:v>Claw Hammer</x:v>
      </x:c>
      <x:c r="E356" s="63" t="n">
        <x:v>2</x:v>
      </x:c>
      <x:c r="F356" s="63" t="n">
        <x:v>8</x:v>
      </x:c>
      <x:c r="G356" s="54" t="str">
        <x:v>RECONSTRUCTED</x:v>
      </x:c>
      <x:c r="H356" s="54" t="str">
        <x:v>QAR-0001 &gt; QAR-0008 &gt; KIT-0030 &gt; PRT-0116</x:v>
      </x:c>
      <x:c r="I356"/>
    </x:row>
    <x:row r="357">
      <x:c r="A357" s="63" t="n">
        <x:v>3</x:v>
      </x:c>
      <x:c r="B357" s="63" t="str">
        <x:v>KIT-0030</x:v>
      </x:c>
      <x:c r="C357" s="63" t="str">
        <x:v>PRT-0119</x:v>
      </x:c>
      <x:c r="D357" s="63" t="str">
        <x:v>Caulking Iron</x:v>
      </x:c>
      <x:c r="E357" s="63" t="n">
        <x:v>4</x:v>
      </x:c>
      <x:c r="F357" s="63" t="n">
        <x:v>16</x:v>
      </x:c>
      <x:c r="G357" s="54" t="str">
        <x:v>RECONSTRUCTED</x:v>
      </x:c>
      <x:c r="H357" s="54" t="str">
        <x:v>QAR-0001 &gt; QAR-0008 &gt; KIT-0030 &gt; PRT-0119</x:v>
      </x:c>
      <x:c r="I357"/>
    </x:row>
    <x:row r="358">
      <x:c r="A358" s="63" t="n">
        <x:v>3</x:v>
      </x:c>
      <x:c r="B358" s="63" t="str">
        <x:v>KIT-0030</x:v>
      </x:c>
      <x:c r="C358" s="63" t="str">
        <x:v>LBL-0005</x:v>
      </x:c>
      <x:c r="D358" s="63" t="str">
        <x:v>Safety Label - Team Lift / Heavy Tackle</x:v>
      </x:c>
      <x:c r="E358" s="63" t="n">
        <x:v>1</x:v>
      </x:c>
      <x:c r="F358" s="63" t="n">
        <x:v>4</x:v>
      </x:c>
      <x:c r="G358" s="54" t="str">
        <x:v>FICTIONAL</x:v>
      </x:c>
      <x:c r="H358" s="54" t="str">
        <x:v>QAR-0001 &gt; QAR-0008 &gt; KIT-0030 &gt; LBL-0005</x:v>
      </x:c>
      <x:c r="I358"/>
    </x:row>
    <x:row r="359">
      <x:c r="A359" s="63" t="n">
        <x:v>2</x:v>
      </x:c>
      <x:c r="B359" s="63" t="str">
        <x:v>QAR-0008</x:v>
      </x:c>
      <x:c r="C359" s="63" t="str">
        <x:v>OFT-0017</x:v>
      </x:c>
      <x:c r="D359" s="63" t="str">
        <x:v>Spare Timber and Planking Lot</x:v>
      </x:c>
      <x:c r="E359" s="63" t="n">
        <x:v>1</x:v>
      </x:c>
      <x:c r="F359" s="63" t="n">
        <x:v>1</x:v>
      </x:c>
      <x:c r="G359" s="54" t="str">
        <x:v>RECONSTRUCTED</x:v>
      </x:c>
      <x:c r="H359" s="54" t="str">
        <x:v>QAR-0001 &gt; QAR-0008 &gt; OFT-0017</x:v>
      </x:c>
      <x:c r="I359"/>
    </x:row>
    <x:row r="360">
      <x:c r="A360" s="63" t="n">
        <x:v>3</x:v>
      </x:c>
      <x:c r="B360" s="63" t="str">
        <x:v>OFT-0017</x:v>
      </x:c>
      <x:c r="C360" s="63" t="str">
        <x:v>PRT-0122</x:v>
      </x:c>
      <x:c r="D360" s="63" t="str">
        <x:v>Spare Oak Spar Blank</x:v>
      </x:c>
      <x:c r="E360" s="63" t="n">
        <x:v>8</x:v>
      </x:c>
      <x:c r="F360" s="63" t="n">
        <x:v>8</x:v>
      </x:c>
      <x:c r="G360" s="54" t="str">
        <x:v>RECONSTRUCTED</x:v>
      </x:c>
      <x:c r="H360" s="54" t="str">
        <x:v>QAR-0001 &gt; QAR-0008 &gt; OFT-0017 &gt; PRT-0122</x:v>
      </x:c>
      <x:c r="I360"/>
    </x:row>
    <x:row r="361">
      <x:c r="A361" s="63" t="n">
        <x:v>3</x:v>
      </x:c>
      <x:c r="B361" s="63" t="str">
        <x:v>OFT-0017</x:v>
      </x:c>
      <x:c r="C361" s="63" t="str">
        <x:v>PRT-0123</x:v>
      </x:c>
      <x:c r="D361" s="63" t="str">
        <x:v>Spare Oak Plank</x:v>
      </x:c>
      <x:c r="E361" s="63" t="n">
        <x:v>40</x:v>
      </x:c>
      <x:c r="F361" s="63" t="n">
        <x:v>40</x:v>
      </x:c>
      <x:c r="G361" s="54" t="str">
        <x:v>RECONSTRUCTED</x:v>
      </x:c>
      <x:c r="H361" s="54" t="str">
        <x:v>QAR-0001 &gt; QAR-0008 &gt; OFT-0017 &gt; PRT-0123</x:v>
      </x:c>
      <x:c r="I361"/>
    </x:row>
    <x:row r="362">
      <x:c r="A362" s="63" t="n">
        <x:v>3</x:v>
      </x:c>
      <x:c r="B362" s="63" t="str">
        <x:v>OFT-0017</x:v>
      </x:c>
      <x:c r="C362" s="63" t="str">
        <x:v>PRT-0120</x:v>
      </x:c>
      <x:c r="D362" s="63" t="str">
        <x:v>Emergency Patch Plank</x:v>
      </x:c>
      <x:c r="E362" s="63" t="n">
        <x:v>24</x:v>
      </x:c>
      <x:c r="F362" s="63" t="n">
        <x:v>24</x:v>
      </x:c>
      <x:c r="G362" s="54" t="str">
        <x:v>RECONSTRUCTED</x:v>
      </x:c>
      <x:c r="H362" s="54" t="str">
        <x:v>QAR-0001 &gt; QAR-0008 &gt; OFT-0017 &gt; PRT-0120</x:v>
      </x:c>
      <x:c r="I362"/>
    </x:row>
    <x:row r="363">
      <x:c r="A363" s="63" t="n">
        <x:v>2</x:v>
      </x:c>
      <x:c r="B363" s="63" t="str">
        <x:v>QAR-0008</x:v>
      </x:c>
      <x:c r="C363" s="63" t="str">
        <x:v>ASM-0037</x:v>
      </x:c>
      <x:c r="D363" s="63" t="str">
        <x:v>Mechanical Jack</x:v>
      </x:c>
      <x:c r="E363" s="63" t="n">
        <x:v>1</x:v>
      </x:c>
      <x:c r="F363" s="63" t="n">
        <x:v>1</x:v>
      </x:c>
      <x:c r="G363" s="54" t="str">
        <x:v>RECOVERED</x:v>
      </x:c>
      <x:c r="H363" s="54" t="str">
        <x:v>QAR-0001 &gt; QAR-0008 &gt; ASM-0037</x:v>
      </x:c>
      <x:c r="I363"/>
    </x:row>
    <x:row r="364">
      <x:c r="A364" s="63" t="n">
        <x:v>2</x:v>
      </x:c>
      <x:c r="B364" s="63" t="str">
        <x:v>QAR-0008</x:v>
      </x:c>
      <x:c r="C364" s="63" t="str">
        <x:v>ASM-0038</x:v>
      </x:c>
      <x:c r="D364" s="63" t="str">
        <x:v>Portable Grindstone Assembly</x:v>
      </x:c>
      <x:c r="E364" s="63" t="n">
        <x:v>1</x:v>
      </x:c>
      <x:c r="F364" s="63" t="n">
        <x:v>1</x:v>
      </x:c>
      <x:c r="G364" s="54" t="str">
        <x:v>RECOVERED</x:v>
      </x:c>
      <x:c r="H364" s="54" t="str">
        <x:v>QAR-0001 &gt; QAR-0008 &gt; ASM-0038</x:v>
      </x:c>
      <x:c r="I364"/>
    </x:row>
    <x:row r="365">
      <x:c r="A365" s="63" t="n">
        <x:v>1</x:v>
      </x:c>
      <x:c r="B365" s="63" t="str">
        <x:v>QAR-0001</x:v>
      </x:c>
      <x:c r="C365" s="63" t="str">
        <x:v>QAR-0009</x:v>
      </x:c>
      <x:c r="D365" s="63" t="str">
        <x:v>Sailmaker and Rigging Repair Stores</x:v>
      </x:c>
      <x:c r="E365" s="63" t="n">
        <x:v>1</x:v>
      </x:c>
      <x:c r="F365" s="63" t="n">
        <x:v>1</x:v>
      </x:c>
      <x:c r="G365" s="54" t="str">
        <x:v>RECONSTRUCTED</x:v>
      </x:c>
      <x:c r="H365" s="54" t="str">
        <x:v>QAR-0001 &gt; QAR-0009</x:v>
      </x:c>
      <x:c r="I365"/>
    </x:row>
    <x:row r="366">
      <x:c r="A366" s="63" t="n">
        <x:v>2</x:v>
      </x:c>
      <x:c r="B366" s="63" t="str">
        <x:v>QAR-0009</x:v>
      </x:c>
      <x:c r="C366" s="63" t="str">
        <x:v>KIT-0033</x:v>
      </x:c>
      <x:c r="D366" s="63" t="str">
        <x:v>Sailmaker's Tool Chest</x:v>
      </x:c>
      <x:c r="E366" s="63" t="n">
        <x:v>2</x:v>
      </x:c>
      <x:c r="F366" s="63" t="n">
        <x:v>2</x:v>
      </x:c>
      <x:c r="G366" s="54" t="str">
        <x:v>RECONSTRUCTED</x:v>
      </x:c>
      <x:c r="H366" s="54" t="str">
        <x:v>QAR-0001 &gt; QAR-0009 &gt; KIT-0033</x:v>
      </x:c>
      <x:c r="I366"/>
    </x:row>
    <x:row r="367">
      <x:c r="A367" s="63" t="n">
        <x:v>3</x:v>
      </x:c>
      <x:c r="B367" s="63" t="str">
        <x:v>KIT-0033</x:v>
      </x:c>
      <x:c r="C367" s="63" t="str">
        <x:v>PRT-0124</x:v>
      </x:c>
      <x:c r="D367" s="63" t="str">
        <x:v>Large Sail Needle</x:v>
      </x:c>
      <x:c r="E367" s="63" t="n">
        <x:v>24</x:v>
      </x:c>
      <x:c r="F367" s="63" t="n">
        <x:v>48</x:v>
      </x:c>
      <x:c r="G367" s="54" t="str">
        <x:v>RECOVERED</x:v>
      </x:c>
      <x:c r="H367" s="54" t="str">
        <x:v>QAR-0001 &gt; QAR-0009 &gt; KIT-0033 &gt; PRT-0124</x:v>
      </x:c>
      <x:c r="I367"/>
    </x:row>
    <x:row r="368">
      <x:c r="A368" s="63" t="n">
        <x:v>3</x:v>
      </x:c>
      <x:c r="B368" s="63" t="str">
        <x:v>KIT-0033</x:v>
      </x:c>
      <x:c r="C368" s="63" t="str">
        <x:v>PRT-0125</x:v>
      </x:c>
      <x:c r="D368" s="63" t="str">
        <x:v>Sailmaker's Palm</x:v>
      </x:c>
      <x:c r="E368" s="63" t="n">
        <x:v>6</x:v>
      </x:c>
      <x:c r="F368" s="63" t="n">
        <x:v>12</x:v>
      </x:c>
      <x:c r="G368" s="54" t="str">
        <x:v>RECONSTRUCTED</x:v>
      </x:c>
      <x:c r="H368" s="54" t="str">
        <x:v>QAR-0001 &gt; QAR-0009 &gt; KIT-0033 &gt; PRT-0125</x:v>
      </x:c>
      <x:c r="I368"/>
    </x:row>
    <x:row r="369">
      <x:c r="A369" s="63" t="n">
        <x:v>3</x:v>
      </x:c>
      <x:c r="B369" s="63" t="str">
        <x:v>KIT-0033</x:v>
      </x:c>
      <x:c r="C369" s="63" t="str">
        <x:v>MAT-0012</x:v>
      </x:c>
      <x:c r="D369" s="63" t="str">
        <x:v>Waxed Sail Thread Spool</x:v>
      </x:c>
      <x:c r="E369" s="63" t="n">
        <x:v>12</x:v>
      </x:c>
      <x:c r="F369" s="63" t="n">
        <x:v>24</x:v>
      </x:c>
      <x:c r="G369" s="54" t="str">
        <x:v>RECONSTRUCTED</x:v>
      </x:c>
      <x:c r="H369" s="54" t="str">
        <x:v>QAR-0001 &gt; QAR-0009 &gt; KIT-0033 &gt; MAT-0012</x:v>
      </x:c>
      <x:c r="I369"/>
    </x:row>
    <x:row r="370">
      <x:c r="A370" s="63" t="n">
        <x:v>3</x:v>
      </x:c>
      <x:c r="B370" s="63" t="str">
        <x:v>KIT-0033</x:v>
      </x:c>
      <x:c r="C370" s="63" t="str">
        <x:v>PRT-0128</x:v>
      </x:c>
      <x:c r="D370" s="63" t="str">
        <x:v>Wooden Seam Rubber</x:v>
      </x:c>
      <x:c r="E370" s="63" t="n">
        <x:v>4</x:v>
      </x:c>
      <x:c r="F370" s="63" t="n">
        <x:v>8</x:v>
      </x:c>
      <x:c r="G370" s="54" t="str">
        <x:v>RECONSTRUCTED</x:v>
      </x:c>
      <x:c r="H370" s="54" t="str">
        <x:v>QAR-0001 &gt; QAR-0009 &gt; KIT-0033 &gt; PRT-0128</x:v>
      </x:c>
      <x:c r="I370"/>
    </x:row>
    <x:row r="371">
      <x:c r="A371" s="63" t="n">
        <x:v>3</x:v>
      </x:c>
      <x:c r="B371" s="63" t="str">
        <x:v>KIT-0033</x:v>
      </x:c>
      <x:c r="C371" s="63" t="str">
        <x:v>PRT-0126</x:v>
      </x:c>
      <x:c r="D371" s="63" t="str">
        <x:v>Large Rigging Fid</x:v>
      </x:c>
      <x:c r="E371" s="63" t="n">
        <x:v>4</x:v>
      </x:c>
      <x:c r="F371" s="63" t="n">
        <x:v>8</x:v>
      </x:c>
      <x:c r="G371" s="54" t="str">
        <x:v>RECONSTRUCTED</x:v>
      </x:c>
      <x:c r="H371" s="54" t="str">
        <x:v>QAR-0001 &gt; QAR-0009 &gt; KIT-0033 &gt; PRT-0126</x:v>
      </x:c>
      <x:c r="I371"/>
    </x:row>
    <x:row r="372">
      <x:c r="A372" s="63" t="n">
        <x:v>3</x:v>
      </x:c>
      <x:c r="B372" s="63" t="str">
        <x:v>KIT-0033</x:v>
      </x:c>
      <x:c r="C372" s="63" t="str">
        <x:v>PRT-0127</x:v>
      </x:c>
      <x:c r="D372" s="63" t="str">
        <x:v>Iron Marlinespike</x:v>
      </x:c>
      <x:c r="E372" s="63" t="n">
        <x:v>6</x:v>
      </x:c>
      <x:c r="F372" s="63" t="n">
        <x:v>12</x:v>
      </x:c>
      <x:c r="G372" s="54" t="str">
        <x:v>RECONSTRUCTED</x:v>
      </x:c>
      <x:c r="H372" s="54" t="str">
        <x:v>QAR-0001 &gt; QAR-0009 &gt; KIT-0033 &gt; PRT-0127</x:v>
      </x:c>
      <x:c r="I372"/>
    </x:row>
    <x:row r="373">
      <x:c r="A373" s="63" t="n">
        <x:v>2</x:v>
      </x:c>
      <x:c r="B373" s="63" t="str">
        <x:v>QAR-0009</x:v>
      </x:c>
      <x:c r="C373" s="63" t="str">
        <x:v>KIT-0034</x:v>
      </x:c>
      <x:c r="D373" s="63" t="str">
        <x:v>Rigging Repair Chest</x:v>
      </x:c>
      <x:c r="E373" s="63" t="n">
        <x:v>2</x:v>
      </x:c>
      <x:c r="F373" s="63" t="n">
        <x:v>2</x:v>
      </x:c>
      <x:c r="G373" s="54" t="str">
        <x:v>RECONSTRUCTED</x:v>
      </x:c>
      <x:c r="H373" s="54" t="str">
        <x:v>QAR-0001 &gt; QAR-0009 &gt; KIT-0034</x:v>
      </x:c>
      <x:c r="I373"/>
    </x:row>
    <x:row r="374">
      <x:c r="A374" s="63" t="n">
        <x:v>3</x:v>
      </x:c>
      <x:c r="B374" s="63" t="str">
        <x:v>KIT-0034</x:v>
      </x:c>
      <x:c r="C374" s="63" t="str">
        <x:v>PRT-0126</x:v>
      </x:c>
      <x:c r="D374" s="63" t="str">
        <x:v>Large Rigging Fid</x:v>
      </x:c>
      <x:c r="E374" s="63" t="n">
        <x:v>6</x:v>
      </x:c>
      <x:c r="F374" s="63" t="n">
        <x:v>12</x:v>
      </x:c>
      <x:c r="G374" s="54" t="str">
        <x:v>RECONSTRUCTED</x:v>
      </x:c>
      <x:c r="H374" s="54" t="str">
        <x:v>QAR-0001 &gt; QAR-0009 &gt; KIT-0034 &gt; PRT-0126</x:v>
      </x:c>
      <x:c r="I374"/>
    </x:row>
    <x:row r="375">
      <x:c r="A375" s="63" t="n">
        <x:v>3</x:v>
      </x:c>
      <x:c r="B375" s="63" t="str">
        <x:v>KIT-0034</x:v>
      </x:c>
      <x:c r="C375" s="63" t="str">
        <x:v>PRT-0127</x:v>
      </x:c>
      <x:c r="D375" s="63" t="str">
        <x:v>Iron Marlinespike</x:v>
      </x:c>
      <x:c r="E375" s="63" t="n">
        <x:v>8</x:v>
      </x:c>
      <x:c r="F375" s="63" t="n">
        <x:v>16</x:v>
      </x:c>
      <x:c r="G375" s="54" t="str">
        <x:v>RECONSTRUCTED</x:v>
      </x:c>
      <x:c r="H375" s="54" t="str">
        <x:v>QAR-0001 &gt; QAR-0009 &gt; KIT-0034 &gt; PRT-0127</x:v>
      </x:c>
      <x:c r="I375"/>
    </x:row>
    <x:row r="376">
      <x:c r="A376" s="63" t="n">
        <x:v>3</x:v>
      </x:c>
      <x:c r="B376" s="63" t="str">
        <x:v>KIT-0034</x:v>
      </x:c>
      <x:c r="C376" s="63" t="str">
        <x:v>MAT-0015</x:v>
      </x:c>
      <x:c r="D376" s="63" t="str">
        <x:v>Marline, 200 ft Coil</x:v>
      </x:c>
      <x:c r="E376" s="63" t="n">
        <x:v>12</x:v>
      </x:c>
      <x:c r="F376" s="63" t="n">
        <x:v>24</x:v>
      </x:c>
      <x:c r="G376" s="54" t="str">
        <x:v>RECONSTRUCTED</x:v>
      </x:c>
      <x:c r="H376" s="54" t="str">
        <x:v>QAR-0001 &gt; QAR-0009 &gt; KIT-0034 &gt; MAT-0015</x:v>
      </x:c>
      <x:c r="I376"/>
    </x:row>
    <x:row r="377">
      <x:c r="A377" s="63" t="n">
        <x:v>3</x:v>
      </x:c>
      <x:c r="B377" s="63" t="str">
        <x:v>KIT-0034</x:v>
      </x:c>
      <x:c r="C377" s="63" t="str">
        <x:v>PRT-0081</x:v>
      </x:c>
      <x:c r="D377" s="63" t="str">
        <x:v>Small Single Block</x:v>
      </x:c>
      <x:c r="E377" s="63" t="n">
        <x:v>20</x:v>
      </x:c>
      <x:c r="F377" s="63" t="n">
        <x:v>40</x:v>
      </x:c>
      <x:c r="G377" s="54" t="str">
        <x:v>RECONSTRUCTED</x:v>
      </x:c>
      <x:c r="H377" s="54" t="str">
        <x:v>QAR-0001 &gt; QAR-0009 &gt; KIT-0034 &gt; PRT-0081</x:v>
      </x:c>
      <x:c r="I377"/>
    </x:row>
    <x:row r="378">
      <x:c r="A378" s="63" t="n">
        <x:v>3</x:v>
      </x:c>
      <x:c r="B378" s="63" t="str">
        <x:v>KIT-0034</x:v>
      </x:c>
      <x:c r="C378" s="63" t="str">
        <x:v>PRT-0082</x:v>
      </x:c>
      <x:c r="D378" s="63" t="str">
        <x:v>Medium Single Block</x:v>
      </x:c>
      <x:c r="E378" s="63" t="n">
        <x:v>12</x:v>
      </x:c>
      <x:c r="F378" s="63" t="n">
        <x:v>24</x:v>
      </x:c>
      <x:c r="G378" s="54" t="str">
        <x:v>RECONSTRUCTED</x:v>
      </x:c>
      <x:c r="H378" s="54" t="str">
        <x:v>QAR-0001 &gt; QAR-0009 &gt; KIT-0034 &gt; PRT-0082</x:v>
      </x:c>
      <x:c r="I378"/>
    </x:row>
    <x:row r="379">
      <x:c r="A379" s="63" t="n">
        <x:v>3</x:v>
      </x:c>
      <x:c r="B379" s="63" t="str">
        <x:v>KIT-0034</x:v>
      </x:c>
      <x:c r="C379" s="63" t="str">
        <x:v>PRT-0086</x:v>
      </x:c>
      <x:c r="D379" s="63" t="str">
        <x:v>Iron Rigging Shackle</x:v>
      </x:c>
      <x:c r="E379" s="63" t="n">
        <x:v>12</x:v>
      </x:c>
      <x:c r="F379" s="63" t="n">
        <x:v>24</x:v>
      </x:c>
      <x:c r="G379" s="54" t="str">
        <x:v>RECONSTRUCTED</x:v>
      </x:c>
      <x:c r="H379" s="54" t="str">
        <x:v>QAR-0001 &gt; QAR-0009 &gt; KIT-0034 &gt; PRT-0086</x:v>
      </x:c>
      <x:c r="I379"/>
    </x:row>
    <x:row r="380">
      <x:c r="A380" s="63" t="n">
        <x:v>3</x:v>
      </x:c>
      <x:c r="B380" s="63" t="str">
        <x:v>KIT-0034</x:v>
      </x:c>
      <x:c r="C380" s="63" t="str">
        <x:v>PRT-0087</x:v>
      </x:c>
      <x:c r="D380" s="63" t="str">
        <x:v>Rope Thimble</x:v>
      </x:c>
      <x:c r="E380" s="63" t="n">
        <x:v>20</x:v>
      </x:c>
      <x:c r="F380" s="63" t="n">
        <x:v>40</x:v>
      </x:c>
      <x:c r="G380" s="54" t="str">
        <x:v>RECONSTRUCTED</x:v>
      </x:c>
      <x:c r="H380" s="54" t="str">
        <x:v>QAR-0001 &gt; QAR-0009 &gt; KIT-0034 &gt; PRT-0087</x:v>
      </x:c>
      <x:c r="I380"/>
    </x:row>
    <x:row r="381">
      <x:c r="A381" s="63" t="n">
        <x:v>2</x:v>
      </x:c>
      <x:c r="B381" s="63" t="str">
        <x:v>QAR-0009</x:v>
      </x:c>
      <x:c r="C381" s="63" t="str">
        <x:v>OFT-0018</x:v>
      </x:c>
      <x:c r="D381" s="63" t="str">
        <x:v>Spare Canvas Stock</x:v>
      </x:c>
      <x:c r="E381" s="63" t="n">
        <x:v>1</x:v>
      </x:c>
      <x:c r="F381" s="63" t="n">
        <x:v>1</x:v>
      </x:c>
      <x:c r="G381" s="54" t="str">
        <x:v>RECONSTRUCTED</x:v>
      </x:c>
      <x:c r="H381" s="54" t="str">
        <x:v>QAR-0001 &gt; QAR-0009 &gt; OFT-0018</x:v>
      </x:c>
      <x:c r="I381"/>
    </x:row>
    <x:row r="382">
      <x:c r="A382" s="63" t="n">
        <x:v>3</x:v>
      </x:c>
      <x:c r="B382" s="63" t="str">
        <x:v>OFT-0018</x:v>
      </x:c>
      <x:c r="C382" s="63" t="str">
        <x:v>MAT-0013</x:v>
      </x:c>
      <x:c r="D382" s="63" t="str">
        <x:v>Sail Canvas Bolt, 40 yd</x:v>
      </x:c>
      <x:c r="E382" s="63" t="n">
        <x:v>24</x:v>
      </x:c>
      <x:c r="F382" s="63" t="n">
        <x:v>24</x:v>
      </x:c>
      <x:c r="G382" s="54" t="str">
        <x:v>RECONSTRUCTED</x:v>
      </x:c>
      <x:c r="H382" s="54" t="str">
        <x:v>QAR-0001 &gt; QAR-0009 &gt; OFT-0018 &gt; MAT-0013</x:v>
      </x:c>
      <x:c r="I382"/>
    </x:row>
    <x:row r="383">
      <x:c r="A383" s="63" t="n">
        <x:v>3</x:v>
      </x:c>
      <x:c r="B383" s="63" t="str">
        <x:v>OFT-0018</x:v>
      </x:c>
      <x:c r="C383" s="63" t="str">
        <x:v>MAT-0014</x:v>
      </x:c>
      <x:c r="D383" s="63" t="str">
        <x:v>Heavy Canvas Bolt, 30 yd</x:v>
      </x:c>
      <x:c r="E383" s="63" t="n">
        <x:v>12</x:v>
      </x:c>
      <x:c r="F383" s="63" t="n">
        <x:v>12</x:v>
      </x:c>
      <x:c r="G383" s="54" t="str">
        <x:v>RECONSTRUCTED</x:v>
      </x:c>
      <x:c r="H383" s="54" t="str">
        <x:v>QAR-0001 &gt; QAR-0009 &gt; OFT-0018 &gt; MAT-0014</x:v>
      </x:c>
      <x:c r="I383"/>
    </x:row>
    <x:row r="384">
      <x:c r="A384" s="63" t="n">
        <x:v>2</x:v>
      </x:c>
      <x:c r="B384" s="63" t="str">
        <x:v>QAR-0009</x:v>
      </x:c>
      <x:c r="C384" s="63" t="str">
        <x:v>OFT-0019</x:v>
      </x:c>
      <x:c r="D384" s="63" t="str">
        <x:v>Spare Cordage Stock</x:v>
      </x:c>
      <x:c r="E384" s="63" t="n">
        <x:v>1</x:v>
      </x:c>
      <x:c r="F384" s="63" t="n">
        <x:v>1</x:v>
      </x:c>
      <x:c r="G384" s="54" t="str">
        <x:v>RECONSTRUCTED</x:v>
      </x:c>
      <x:c r="H384" s="54" t="str">
        <x:v>QAR-0001 &gt; QAR-0009 &gt; OFT-0019</x:v>
      </x:c>
      <x:c r="I384"/>
    </x:row>
    <x:row r="385">
      <x:c r="A385" s="63" t="n">
        <x:v>3</x:v>
      </x:c>
      <x:c r="B385" s="63" t="str">
        <x:v>OFT-0019</x:v>
      </x:c>
      <x:c r="C385" s="63" t="str">
        <x:v>MAT-0016</x:v>
      </x:c>
      <x:c r="D385" s="63" t="str">
        <x:v>One-Inch Rope, 200 ft Coil</x:v>
      </x:c>
      <x:c r="E385" s="63" t="n">
        <x:v>30</x:v>
      </x:c>
      <x:c r="F385" s="63" t="n">
        <x:v>30</x:v>
      </x:c>
      <x:c r="G385" s="54" t="str">
        <x:v>RECONSTRUCTED</x:v>
      </x:c>
      <x:c r="H385" s="54" t="str">
        <x:v>QAR-0001 &gt; QAR-0009 &gt; OFT-0019 &gt; MAT-0016</x:v>
      </x:c>
      <x:c r="I385"/>
    </x:row>
    <x:row r="386">
      <x:c r="A386" s="63" t="n">
        <x:v>3</x:v>
      </x:c>
      <x:c r="B386" s="63" t="str">
        <x:v>OFT-0019</x:v>
      </x:c>
      <x:c r="C386" s="63" t="str">
        <x:v>MAT-0017</x:v>
      </x:c>
      <x:c r="D386" s="63" t="str">
        <x:v>Two-Inch Rope, 200 ft Coil</x:v>
      </x:c>
      <x:c r="E386" s="63" t="n">
        <x:v>20</x:v>
      </x:c>
      <x:c r="F386" s="63" t="n">
        <x:v>20</x:v>
      </x:c>
      <x:c r="G386" s="54" t="str">
        <x:v>RECONSTRUCTED</x:v>
      </x:c>
      <x:c r="H386" s="54" t="str">
        <x:v>QAR-0001 &gt; QAR-0009 &gt; OFT-0019 &gt; MAT-0017</x:v>
      </x:c>
      <x:c r="I386"/>
    </x:row>
    <x:row r="387">
      <x:c r="A387" s="63" t="n">
        <x:v>3</x:v>
      </x:c>
      <x:c r="B387" s="63" t="str">
        <x:v>OFT-0019</x:v>
      </x:c>
      <x:c r="C387" s="63" t="str">
        <x:v>MAT-0018</x:v>
      </x:c>
      <x:c r="D387" s="63" t="str">
        <x:v>Three-Inch Rope, 200 ft Coil</x:v>
      </x:c>
      <x:c r="E387" s="63" t="n">
        <x:v>10</x:v>
      </x:c>
      <x:c r="F387" s="63" t="n">
        <x:v>10</x:v>
      </x:c>
      <x:c r="G387" s="54" t="str">
        <x:v>RECONSTRUCTED</x:v>
      </x:c>
      <x:c r="H387" s="54" t="str">
        <x:v>QAR-0001 &gt; QAR-0009 &gt; OFT-0019 &gt; MAT-0018</x:v>
      </x:c>
      <x:c r="I387"/>
    </x:row>
    <x:row r="388">
      <x:c r="A388" s="63" t="n">
        <x:v>3</x:v>
      </x:c>
      <x:c r="B388" s="63" t="str">
        <x:v>OFT-0019</x:v>
      </x:c>
      <x:c r="C388" s="63" t="str">
        <x:v>MAT-0015</x:v>
      </x:c>
      <x:c r="D388" s="63" t="str">
        <x:v>Marline, 200 ft Coil</x:v>
      </x:c>
      <x:c r="E388" s="63" t="n">
        <x:v>20</x:v>
      </x:c>
      <x:c r="F388" s="63" t="n">
        <x:v>20</x:v>
      </x:c>
      <x:c r="G388" s="54" t="str">
        <x:v>RECONSTRUCTED</x:v>
      </x:c>
      <x:c r="H388" s="54" t="str">
        <x:v>QAR-0001 &gt; QAR-0009 &gt; OFT-0019 &gt; MAT-0015</x:v>
      </x:c>
      <x:c r="I388"/>
    </x:row>
    <x:row r="389">
      <x:c r="A389" s="63" t="n">
        <x:v>2</x:v>
      </x:c>
      <x:c r="B389" s="63" t="str">
        <x:v>QAR-0009</x:v>
      </x:c>
      <x:c r="C389" s="63" t="str">
        <x:v>MAT-0019</x:v>
      </x:c>
      <x:c r="D389" s="63" t="str">
        <x:v>Stockholm Tar Keg, 25 lb</x:v>
      </x:c>
      <x:c r="E389" s="63" t="n">
        <x:v>12</x:v>
      </x:c>
      <x:c r="F389" s="63" t="n">
        <x:v>12</x:v>
      </x:c>
      <x:c r="G389" s="54" t="str">
        <x:v>RECONSTRUCTED</x:v>
      </x:c>
      <x:c r="H389" s="54" t="str">
        <x:v>QAR-0001 &gt; QAR-0009 &gt; MAT-0019</x:v>
      </x:c>
      <x:c r="I389"/>
    </x:row>
    <x:row r="390">
      <x:c r="A390" s="63" t="n">
        <x:v>1</x:v>
      </x:c>
      <x:c r="B390" s="63" t="str">
        <x:v>QAR-0001</x:v>
      </x:c>
      <x:c r="C390" s="63" t="str">
        <x:v>QAR-0010</x:v>
      </x:c>
      <x:c r="D390" s="63" t="str">
        <x:v>Surgeon's Sea Chest and Sick Bay</x:v>
      </x:c>
      <x:c r="E390" s="63" t="n">
        <x:v>1</x:v>
      </x:c>
      <x:c r="F390" s="63" t="n">
        <x:v>1</x:v>
      </x:c>
      <x:c r="G390" s="54" t="str">
        <x:v>RECONSTRUCTED</x:v>
      </x:c>
      <x:c r="H390" s="54" t="str">
        <x:v>QAR-0001 &gt; QAR-0010</x:v>
      </x:c>
      <x:c r="I390"/>
    </x:row>
    <x:row r="391">
      <x:c r="A391" s="63" t="n">
        <x:v>2</x:v>
      </x:c>
      <x:c r="B391" s="63" t="str">
        <x:v>QAR-0010</x:v>
      </x:c>
      <x:c r="C391" s="63" t="str">
        <x:v>KIT-0035</x:v>
      </x:c>
      <x:c r="D391" s="63" t="str">
        <x:v>Surgeon's Instrument Chest</x:v>
      </x:c>
      <x:c r="E391" s="63" t="n">
        <x:v>1</x:v>
      </x:c>
      <x:c r="F391" s="63" t="n">
        <x:v>1</x:v>
      </x:c>
      <x:c r="G391" s="54" t="str">
        <x:v>RECONSTRUCTED</x:v>
      </x:c>
      <x:c r="H391" s="54" t="str">
        <x:v>QAR-0001 &gt; QAR-0010 &gt; KIT-0035</x:v>
      </x:c>
      <x:c r="I391"/>
    </x:row>
    <x:row r="392">
      <x:c r="A392" s="63" t="n">
        <x:v>3</x:v>
      </x:c>
      <x:c r="B392" s="63" t="str">
        <x:v>KIT-0035</x:v>
      </x:c>
      <x:c r="C392" s="63" t="str">
        <x:v>ASM-0039</x:v>
      </x:c>
      <x:c r="D392" s="63" t="str">
        <x:v>Mortar and Pestle</x:v>
      </x:c>
      <x:c r="E392" s="63" t="n">
        <x:v>1</x:v>
      </x:c>
      <x:c r="F392" s="63" t="n">
        <x:v>1</x:v>
      </x:c>
      <x:c r="G392" s="54" t="str">
        <x:v>RECOVERED</x:v>
      </x:c>
      <x:c r="H392" s="54" t="str">
        <x:v>QAR-0001 &gt; QAR-0010 &gt; KIT-0035 &gt; ASM-0039</x:v>
      </x:c>
      <x:c r="I392"/>
    </x:row>
    <x:row r="393">
      <x:c r="A393" s="63" t="n">
        <x:v>3</x:v>
      </x:c>
      <x:c r="B393" s="63" t="str">
        <x:v>KIT-0035</x:v>
      </x:c>
      <x:c r="C393" s="63" t="str">
        <x:v>PRT-0129</x:v>
      </x:c>
      <x:c r="D393" s="63" t="str">
        <x:v>Pewter Urethral Syringe</x:v>
      </x:c>
      <x:c r="E393" s="63" t="n">
        <x:v>2</x:v>
      </x:c>
      <x:c r="F393" s="63" t="n">
        <x:v>2</x:v>
      </x:c>
      <x:c r="G393" s="54" t="str">
        <x:v>RECOVERED</x:v>
      </x:c>
      <x:c r="H393" s="54" t="str">
        <x:v>QAR-0001 &gt; QAR-0010 &gt; KIT-0035 &gt; PRT-0129</x:v>
      </x:c>
      <x:c r="I393"/>
    </x:row>
    <x:row r="394">
      <x:c r="A394" s="63" t="n">
        <x:v>3</x:v>
      </x:c>
      <x:c r="B394" s="63" t="str">
        <x:v>KIT-0035</x:v>
      </x:c>
      <x:c r="C394" s="63" t="str">
        <x:v>PRT-0130</x:v>
      </x:c>
      <x:c r="D394" s="63" t="str">
        <x:v>Surgeon's Bone Saw</x:v>
      </x:c>
      <x:c r="E394" s="63" t="n">
        <x:v>2</x:v>
      </x:c>
      <x:c r="F394" s="63" t="n">
        <x:v>2</x:v>
      </x:c>
      <x:c r="G394" s="54" t="str">
        <x:v>RECONSTRUCTED</x:v>
      </x:c>
      <x:c r="H394" s="54" t="str">
        <x:v>QAR-0001 &gt; QAR-0010 &gt; KIT-0035 &gt; PRT-0130</x:v>
      </x:c>
      <x:c r="I394"/>
    </x:row>
    <x:row r="395">
      <x:c r="A395" s="63" t="n">
        <x:v>3</x:v>
      </x:c>
      <x:c r="B395" s="63" t="str">
        <x:v>KIT-0035</x:v>
      </x:c>
      <x:c r="C395" s="63" t="str">
        <x:v>KIT-0038</x:v>
      </x:c>
      <x:c r="D395" s="63" t="str">
        <x:v>Lancet Set</x:v>
      </x:c>
      <x:c r="E395" s="63" t="n">
        <x:v>2</x:v>
      </x:c>
      <x:c r="F395" s="63" t="n">
        <x:v>2</x:v>
      </x:c>
      <x:c r="G395" s="54" t="str">
        <x:v>RECONSTRUCTED</x:v>
      </x:c>
      <x:c r="H395" s="54" t="str">
        <x:v>QAR-0001 &gt; QAR-0010 &gt; KIT-0035 &gt; KIT-0038</x:v>
      </x:c>
      <x:c r="I395"/>
    </x:row>
    <x:row r="396">
      <x:c r="A396" s="63" t="n">
        <x:v>3</x:v>
      </x:c>
      <x:c r="B396" s="63" t="str">
        <x:v>KIT-0035</x:v>
      </x:c>
      <x:c r="C396" s="63" t="str">
        <x:v>PRT-0131</x:v>
      </x:c>
      <x:c r="D396" s="63" t="str">
        <x:v>Surgical Forceps</x:v>
      </x:c>
      <x:c r="E396" s="63" t="n">
        <x:v>4</x:v>
      </x:c>
      <x:c r="F396" s="63" t="n">
        <x:v>4</x:v>
      </x:c>
      <x:c r="G396" s="54" t="str">
        <x:v>RECONSTRUCTED</x:v>
      </x:c>
      <x:c r="H396" s="54" t="str">
        <x:v>QAR-0001 &gt; QAR-0010 &gt; KIT-0035 &gt; PRT-0131</x:v>
      </x:c>
      <x:c r="I396"/>
    </x:row>
    <x:row r="397">
      <x:c r="A397" s="63" t="n">
        <x:v>3</x:v>
      </x:c>
      <x:c r="B397" s="63" t="str">
        <x:v>KIT-0035</x:v>
      </x:c>
      <x:c r="C397" s="63" t="str">
        <x:v>KIT-0039</x:v>
      </x:c>
      <x:c r="D397" s="63" t="str">
        <x:v>Probe and Director Set</x:v>
      </x:c>
      <x:c r="E397" s="63" t="n">
        <x:v>2</x:v>
      </x:c>
      <x:c r="F397" s="63" t="n">
        <x:v>2</x:v>
      </x:c>
      <x:c r="G397" s="54" t="str">
        <x:v>RECONSTRUCTED</x:v>
      </x:c>
      <x:c r="H397" s="54" t="str">
        <x:v>QAR-0001 &gt; QAR-0010 &gt; KIT-0035 &gt; KIT-0039</x:v>
      </x:c>
      <x:c r="I397"/>
    </x:row>
    <x:row r="398">
      <x:c r="A398" s="63" t="n">
        <x:v>2</x:v>
      </x:c>
      <x:c r="B398" s="63" t="str">
        <x:v>QAR-0010</x:v>
      </x:c>
      <x:c r="C398" s="63" t="str">
        <x:v>KIT-0036</x:v>
      </x:c>
      <x:c r="D398" s="63" t="str">
        <x:v>Medicines and Preparations Chest</x:v>
      </x:c>
      <x:c r="E398" s="63" t="n">
        <x:v>1</x:v>
      </x:c>
      <x:c r="F398" s="63" t="n">
        <x:v>1</x:v>
      </x:c>
      <x:c r="G398" s="54" t="str">
        <x:v>RECONSTRUCTED</x:v>
      </x:c>
      <x:c r="H398" s="54" t="str">
        <x:v>QAR-0001 &gt; QAR-0010 &gt; KIT-0036</x:v>
      </x:c>
      <x:c r="I398"/>
    </x:row>
    <x:row r="399">
      <x:c r="A399" s="63" t="n">
        <x:v>3</x:v>
      </x:c>
      <x:c r="B399" s="63" t="str">
        <x:v>KIT-0036</x:v>
      </x:c>
      <x:c r="C399" s="63" t="str">
        <x:v>PKG-0007</x:v>
      </x:c>
      <x:c r="D399" s="63" t="str">
        <x:v>Stoppered Medicine Bottle</x:v>
      </x:c>
      <x:c r="E399" s="63" t="n">
        <x:v>24</x:v>
      </x:c>
      <x:c r="F399" s="63" t="n">
        <x:v>24</x:v>
      </x:c>
      <x:c r="G399" s="54" t="str">
        <x:v>RECOVERED</x:v>
      </x:c>
      <x:c r="H399" s="54" t="str">
        <x:v>QAR-0001 &gt; QAR-0010 &gt; KIT-0036 &gt; PKG-0007</x:v>
      </x:c>
      <x:c r="I399"/>
    </x:row>
    <x:row r="400">
      <x:c r="A400" s="63" t="n">
        <x:v>3</x:v>
      </x:c>
      <x:c r="B400" s="63" t="str">
        <x:v>KIT-0036</x:v>
      </x:c>
      <x:c r="C400" s="63" t="str">
        <x:v>PKG-0008</x:v>
      </x:c>
      <x:c r="D400" s="63" t="str">
        <x:v>Glazed Ointment Jar</x:v>
      </x:c>
      <x:c r="E400" s="63" t="n">
        <x:v>12</x:v>
      </x:c>
      <x:c r="F400" s="63" t="n">
        <x:v>12</x:v>
      </x:c>
      <x:c r="G400" s="54" t="str">
        <x:v>RECONSTRUCTED</x:v>
      </x:c>
      <x:c r="H400" s="54" t="str">
        <x:v>QAR-0001 &gt; QAR-0010 &gt; KIT-0036 &gt; PKG-0008</x:v>
      </x:c>
      <x:c r="I400"/>
    </x:row>
    <x:row r="401">
      <x:c r="A401" s="63" t="n">
        <x:v>3</x:v>
      </x:c>
      <x:c r="B401" s="63" t="str">
        <x:v>KIT-0036</x:v>
      </x:c>
      <x:c r="C401" s="63" t="str">
        <x:v>MAT-0022</x:v>
      </x:c>
      <x:c r="D401" s="63" t="str">
        <x:v>Laudanum Bottle</x:v>
      </x:c>
      <x:c r="E401" s="63" t="n">
        <x:v>4</x:v>
      </x:c>
      <x:c r="F401" s="63" t="n">
        <x:v>4</x:v>
      </x:c>
      <x:c r="G401" s="54" t="str">
        <x:v>RECONSTRUCTED</x:v>
      </x:c>
      <x:c r="H401" s="54" t="str">
        <x:v>QAR-0001 &gt; QAR-0010 &gt; KIT-0036 &gt; MAT-0022</x:v>
      </x:c>
      <x:c r="I401"/>
    </x:row>
    <x:row r="402">
      <x:c r="A402" s="63" t="n">
        <x:v>3</x:v>
      </x:c>
      <x:c r="B402" s="63" t="str">
        <x:v>KIT-0036</x:v>
      </x:c>
      <x:c r="C402" s="63" t="str">
        <x:v>MAT-0023</x:v>
      </x:c>
      <x:c r="D402" s="63" t="str">
        <x:v>Peruvian Bark Jar</x:v>
      </x:c>
      <x:c r="E402" s="63" t="n">
        <x:v>4</x:v>
      </x:c>
      <x:c r="F402" s="63" t="n">
        <x:v>4</x:v>
      </x:c>
      <x:c r="G402" s="54" t="str">
        <x:v>RECONSTRUCTED</x:v>
      </x:c>
      <x:c r="H402" s="54" t="str">
        <x:v>QAR-0001 &gt; QAR-0010 &gt; KIT-0036 &gt; MAT-0023</x:v>
      </x:c>
      <x:c r="I402"/>
    </x:row>
    <x:row r="403">
      <x:c r="A403" s="63" t="n">
        <x:v>3</x:v>
      </x:c>
      <x:c r="B403" s="63" t="str">
        <x:v>KIT-0036</x:v>
      </x:c>
      <x:c r="C403" s="63" t="str">
        <x:v>MAT-0024</x:v>
      </x:c>
      <x:c r="D403" s="63" t="str">
        <x:v>Mercury Preparation Jar</x:v>
      </x:c>
      <x:c r="E403" s="63" t="n">
        <x:v>2</x:v>
      </x:c>
      <x:c r="F403" s="63" t="n">
        <x:v>2</x:v>
      </x:c>
      <x:c r="G403" s="54" t="str">
        <x:v>RECONSTRUCTED</x:v>
      </x:c>
      <x:c r="H403" s="54" t="str">
        <x:v>QAR-0001 &gt; QAR-0010 &gt; KIT-0036 &gt; MAT-0024</x:v>
      </x:c>
      <x:c r="I403"/>
    </x:row>
    <x:row r="404">
      <x:c r="A404" s="63" t="n">
        <x:v>3</x:v>
      </x:c>
      <x:c r="B404" s="63" t="str">
        <x:v>KIT-0036</x:v>
      </x:c>
      <x:c r="C404" s="63" t="str">
        <x:v>MAT-0025</x:v>
      </x:c>
      <x:c r="D404" s="63" t="str">
        <x:v>Medicinal Vinegar Bottle</x:v>
      </x:c>
      <x:c r="E404" s="63" t="n">
        <x:v>6</x:v>
      </x:c>
      <x:c r="F404" s="63" t="n">
        <x:v>6</x:v>
      </x:c>
      <x:c r="G404" s="54" t="str">
        <x:v>RECONSTRUCTED</x:v>
      </x:c>
      <x:c r="H404" s="54" t="str">
        <x:v>QAR-0001 &gt; QAR-0010 &gt; KIT-0036 &gt; MAT-0025</x:v>
      </x:c>
      <x:c r="I404"/>
    </x:row>
    <x:row r="405">
      <x:c r="A405" s="63" t="n">
        <x:v>3</x:v>
      </x:c>
      <x:c r="B405" s="63" t="str">
        <x:v>KIT-0036</x:v>
      </x:c>
      <x:c r="C405" s="63" t="str">
        <x:v>LBL-0006</x:v>
      </x:c>
      <x:c r="D405" s="63" t="str">
        <x:v>Safety Label - Medical Chest / Controlled Access</x:v>
      </x:c>
      <x:c r="E405" s="63" t="n">
        <x:v>1</x:v>
      </x:c>
      <x:c r="F405" s="63" t="n">
        <x:v>1</x:v>
      </x:c>
      <x:c r="G405" s="54" t="str">
        <x:v>FICTIONAL</x:v>
      </x:c>
      <x:c r="H405" s="54" t="str">
        <x:v>QAR-0001 &gt; QAR-0010 &gt; KIT-0036 &gt; LBL-0006</x:v>
      </x:c>
      <x:c r="I405"/>
    </x:row>
    <x:row r="406">
      <x:c r="A406" s="63" t="n">
        <x:v>2</x:v>
      </x:c>
      <x:c r="B406" s="63" t="str">
        <x:v>QAR-0010</x:v>
      </x:c>
      <x:c r="C406" s="63" t="str">
        <x:v>KIT-0037</x:v>
      </x:c>
      <x:c r="D406" s="63" t="str">
        <x:v>Bandage and Dressing Chest</x:v>
      </x:c>
      <x:c r="E406" s="63" t="n">
        <x:v>2</x:v>
      </x:c>
      <x:c r="F406" s="63" t="n">
        <x:v>2</x:v>
      </x:c>
      <x:c r="G406" s="54" t="str">
        <x:v>RECONSTRUCTED</x:v>
      </x:c>
      <x:c r="H406" s="54" t="str">
        <x:v>QAR-0001 &gt; QAR-0010 &gt; KIT-0037</x:v>
      </x:c>
      <x:c r="I406"/>
    </x:row>
    <x:row r="407">
      <x:c r="A407" s="63" t="n">
        <x:v>3</x:v>
      </x:c>
      <x:c r="B407" s="63" t="str">
        <x:v>KIT-0037</x:v>
      </x:c>
      <x:c r="C407" s="63" t="str">
        <x:v>MAT-0020</x:v>
      </x:c>
      <x:c r="D407" s="63" t="str">
        <x:v>Linen Bandage Roll</x:v>
      </x:c>
      <x:c r="E407" s="63" t="n">
        <x:v>60</x:v>
      </x:c>
      <x:c r="F407" s="63" t="n">
        <x:v>120</x:v>
      </x:c>
      <x:c r="G407" s="54" t="str">
        <x:v>RECONSTRUCTED</x:v>
      </x:c>
      <x:c r="H407" s="54" t="str">
        <x:v>QAR-0001 &gt; QAR-0010 &gt; KIT-0037 &gt; MAT-0020</x:v>
      </x:c>
      <x:c r="I407"/>
    </x:row>
    <x:row r="408">
      <x:c r="A408" s="63" t="n">
        <x:v>3</x:v>
      </x:c>
      <x:c r="B408" s="63" t="str">
        <x:v>KIT-0037</x:v>
      </x:c>
      <x:c r="C408" s="63" t="str">
        <x:v>MAT-0021</x:v>
      </x:c>
      <x:c r="D408" s="63" t="str">
        <x:v>Linen Lint Pack</x:v>
      </x:c>
      <x:c r="E408" s="63" t="n">
        <x:v>20</x:v>
      </x:c>
      <x:c r="F408" s="63" t="n">
        <x:v>40</x:v>
      </x:c>
      <x:c r="G408" s="54" t="str">
        <x:v>RECONSTRUCTED</x:v>
      </x:c>
      <x:c r="H408" s="54" t="str">
        <x:v>QAR-0001 &gt; QAR-0010 &gt; KIT-0037 &gt; MAT-0021</x:v>
      </x:c>
      <x:c r="I408"/>
    </x:row>
    <x:row r="409">
      <x:c r="A409" s="63" t="n">
        <x:v>3</x:v>
      </x:c>
      <x:c r="B409" s="63" t="str">
        <x:v>KIT-0037</x:v>
      </x:c>
      <x:c r="C409" s="63" t="str">
        <x:v>PRT-0133</x:v>
      </x:c>
      <x:c r="D409" s="63" t="str">
        <x:v>Canvas Tourniquet</x:v>
      </x:c>
      <x:c r="E409" s="63" t="n">
        <x:v>12</x:v>
      </x:c>
      <x:c r="F409" s="63" t="n">
        <x:v>24</x:v>
      </x:c>
      <x:c r="G409" s="54" t="str">
        <x:v>RECONSTRUCTED</x:v>
      </x:c>
      <x:c r="H409" s="54" t="str">
        <x:v>QAR-0001 &gt; QAR-0010 &gt; KIT-0037 &gt; PRT-0133</x:v>
      </x:c>
      <x:c r="I409"/>
    </x:row>
    <x:row r="410">
      <x:c r="A410" s="63" t="n">
        <x:v>3</x:v>
      </x:c>
      <x:c r="B410" s="63" t="str">
        <x:v>KIT-0037</x:v>
      </x:c>
      <x:c r="C410" s="63" t="str">
        <x:v>PRT-0132</x:v>
      </x:c>
      <x:c r="D410" s="63" t="str">
        <x:v>Wooden Limb Splint</x:v>
      </x:c>
      <x:c r="E410" s="63" t="n">
        <x:v>16</x:v>
      </x:c>
      <x:c r="F410" s="63" t="n">
        <x:v>32</x:v>
      </x:c>
      <x:c r="G410" s="54" t="str">
        <x:v>RECONSTRUCTED</x:v>
      </x:c>
      <x:c r="H410" s="54" t="str">
        <x:v>QAR-0001 &gt; QAR-0010 &gt; KIT-0037 &gt; PRT-0132</x:v>
      </x:c>
      <x:c r="I410"/>
    </x:row>
    <x:row r="411">
      <x:c r="A411" s="63" t="n">
        <x:v>3</x:v>
      </x:c>
      <x:c r="B411" s="63" t="str">
        <x:v>KIT-0037</x:v>
      </x:c>
      <x:c r="C411" s="63" t="str">
        <x:v>LBL-0006</x:v>
      </x:c>
      <x:c r="D411" s="63" t="str">
        <x:v>Safety Label - Medical Chest / Controlled Access</x:v>
      </x:c>
      <x:c r="E411" s="63" t="n">
        <x:v>1</x:v>
      </x:c>
      <x:c r="F411" s="63" t="n">
        <x:v>2</x:v>
      </x:c>
      <x:c r="G411" s="54" t="str">
        <x:v>FICTIONAL</x:v>
      </x:c>
      <x:c r="H411" s="54" t="str">
        <x:v>QAR-0001 &gt; QAR-0010 &gt; KIT-0037 &gt; LBL-0006</x:v>
      </x:c>
      <x:c r="I411"/>
    </x:row>
    <x:row r="412">
      <x:c r="A412" s="63" t="n">
        <x:v>2</x:v>
      </x:c>
      <x:c r="B412" s="63" t="str">
        <x:v>QAR-0010</x:v>
      </x:c>
      <x:c r="C412" s="63" t="str">
        <x:v>OFT-0020</x:v>
      </x:c>
      <x:c r="D412" s="63" t="str">
        <x:v>Sick-Bay Berthing Outfit</x:v>
      </x:c>
      <x:c r="E412" s="63" t="n">
        <x:v>1</x:v>
      </x:c>
      <x:c r="F412" s="63" t="n">
        <x:v>1</x:v>
      </x:c>
      <x:c r="G412" s="54" t="str">
        <x:v>RECONSTRUCTED</x:v>
      </x:c>
      <x:c r="H412" s="54" t="str">
        <x:v>QAR-0001 &gt; QAR-0010 &gt; OFT-0020</x:v>
      </x:c>
      <x:c r="I412"/>
    </x:row>
    <x:row r="413">
      <x:c r="A413" s="63" t="n">
        <x:v>3</x:v>
      </x:c>
      <x:c r="B413" s="63" t="str">
        <x:v>OFT-0020</x:v>
      </x:c>
      <x:c r="C413" s="63" t="str">
        <x:v>ASM-0040</x:v>
      </x:c>
      <x:c r="D413" s="63" t="str">
        <x:v>Sick-Bay Hammock</x:v>
      </x:c>
      <x:c r="E413" s="63" t="n">
        <x:v>12</x:v>
      </x:c>
      <x:c r="F413" s="63" t="n">
        <x:v>12</x:v>
      </x:c>
      <x:c r="G413" s="54" t="str">
        <x:v>RECONSTRUCTED</x:v>
      </x:c>
      <x:c r="H413" s="54" t="str">
        <x:v>QAR-0001 &gt; QAR-0010 &gt; OFT-0020 &gt; ASM-0040</x:v>
      </x:c>
      <x:c r="I413"/>
    </x:row>
    <x:row r="414">
      <x:c r="A414" s="63" t="n">
        <x:v>3</x:v>
      </x:c>
      <x:c r="B414" s="63" t="str">
        <x:v>OFT-0020</x:v>
      </x:c>
      <x:c r="C414" s="63" t="str">
        <x:v>PRT-0134</x:v>
      </x:c>
      <x:c r="D414" s="63" t="str">
        <x:v>Sick-Bay Wool Blanket</x:v>
      </x:c>
      <x:c r="E414" s="63" t="n">
        <x:v>12</x:v>
      </x:c>
      <x:c r="F414" s="63" t="n">
        <x:v>12</x:v>
      </x:c>
      <x:c r="G414" s="54" t="str">
        <x:v>RECONSTRUCTED</x:v>
      </x:c>
      <x:c r="H414" s="54" t="str">
        <x:v>QAR-0001 &gt; QAR-0010 &gt; OFT-0020 &gt; PRT-0134</x:v>
      </x:c>
      <x:c r="I414"/>
    </x:row>
    <x:row r="415">
      <x:c r="A415" s="63" t="n">
        <x:v>2</x:v>
      </x:c>
      <x:c r="B415" s="63" t="str">
        <x:v>QAR-0010</x:v>
      </x:c>
      <x:c r="C415" s="63" t="str">
        <x:v>LBL-0006</x:v>
      </x:c>
      <x:c r="D415" s="63" t="str">
        <x:v>Safety Label - Medical Chest / Controlled Access</x:v>
      </x:c>
      <x:c r="E415" s="63" t="n">
        <x:v>4</x:v>
      </x:c>
      <x:c r="F415" s="63" t="n">
        <x:v>4</x:v>
      </x:c>
      <x:c r="G415" s="54" t="str">
        <x:v>FICTIONAL</x:v>
      </x:c>
      <x:c r="H415" s="54" t="str">
        <x:v>QAR-0001 &gt; QAR-0010 &gt; LBL-0006</x:v>
      </x:c>
      <x:c r="I415"/>
    </x:row>
    <x:row r="416">
      <x:c r="A416" s="63" t="n">
        <x:v>1</x:v>
      </x:c>
      <x:c r="B416" s="63" t="str">
        <x:v>QAR-0001</x:v>
      </x:c>
      <x:c r="C416" s="63" t="str">
        <x:v>QAR-0011</x:v>
      </x:c>
      <x:c r="D416" s="63" t="str">
        <x:v>Galley and Mess Outfit</x:v>
      </x:c>
      <x:c r="E416" s="63" t="n">
        <x:v>1</x:v>
      </x:c>
      <x:c r="F416" s="63" t="n">
        <x:v>1</x:v>
      </x:c>
      <x:c r="G416" s="54" t="str">
        <x:v>RECONSTRUCTED</x:v>
      </x:c>
      <x:c r="H416" s="54" t="str">
        <x:v>QAR-0001 &gt; QAR-0011</x:v>
      </x:c>
      <x:c r="I416"/>
    </x:row>
    <x:row r="417">
      <x:c r="A417" s="63" t="n">
        <x:v>2</x:v>
      </x:c>
      <x:c r="B417" s="63" t="str">
        <x:v>QAR-0011</x:v>
      </x:c>
      <x:c r="C417" s="63" t="str">
        <x:v>ASM-0041</x:v>
      </x:c>
      <x:c r="D417" s="63" t="str">
        <x:v>Brick and Iron Galley Hearth</x:v>
      </x:c>
      <x:c r="E417" s="63" t="n">
        <x:v>1</x:v>
      </x:c>
      <x:c r="F417" s="63" t="n">
        <x:v>1</x:v>
      </x:c>
      <x:c r="G417" s="54" t="str">
        <x:v>RECONSTRUCTED</x:v>
      </x:c>
      <x:c r="H417" s="54" t="str">
        <x:v>QAR-0001 &gt; QAR-0011 &gt; ASM-0041</x:v>
      </x:c>
      <x:c r="I417"/>
    </x:row>
    <x:row r="418">
      <x:c r="A418" s="63" t="n">
        <x:v>2</x:v>
      </x:c>
      <x:c r="B418" s="63" t="str">
        <x:v>QAR-0011</x:v>
      </x:c>
      <x:c r="C418" s="63" t="str">
        <x:v>OFT-0021</x:v>
      </x:c>
      <x:c r="D418" s="63" t="str">
        <x:v>Galley Cookware Outfit</x:v>
      </x:c>
      <x:c r="E418" s="63" t="n">
        <x:v>1</x:v>
      </x:c>
      <x:c r="F418" s="63" t="n">
        <x:v>1</x:v>
      </x:c>
      <x:c r="G418" s="54" t="str">
        <x:v>RECONSTRUCTED</x:v>
      </x:c>
      <x:c r="H418" s="54" t="str">
        <x:v>QAR-0001 &gt; QAR-0011 &gt; OFT-0021</x:v>
      </x:c>
      <x:c r="I418"/>
    </x:row>
    <x:row r="419">
      <x:c r="A419" s="63" t="n">
        <x:v>3</x:v>
      </x:c>
      <x:c r="B419" s="63" t="str">
        <x:v>OFT-0021</x:v>
      </x:c>
      <x:c r="C419" s="63" t="str">
        <x:v>PRT-0135</x:v>
      </x:c>
      <x:c r="D419" s="63" t="str">
        <x:v>Large Iron Cauldron</x:v>
      </x:c>
      <x:c r="E419" s="63" t="n">
        <x:v>3</x:v>
      </x:c>
      <x:c r="F419" s="63" t="n">
        <x:v>3</x:v>
      </x:c>
      <x:c r="G419" s="54" t="str">
        <x:v>RECONSTRUCTED</x:v>
      </x:c>
      <x:c r="H419" s="54" t="str">
        <x:v>QAR-0001 &gt; QAR-0011 &gt; OFT-0021 &gt; PRT-0135</x:v>
      </x:c>
      <x:c r="I419"/>
    </x:row>
    <x:row r="420">
      <x:c r="A420" s="63" t="n">
        <x:v>3</x:v>
      </x:c>
      <x:c r="B420" s="63" t="str">
        <x:v>OFT-0021</x:v>
      </x:c>
      <x:c r="C420" s="63" t="str">
        <x:v>PRT-0136</x:v>
      </x:c>
      <x:c r="D420" s="63" t="str">
        <x:v>Copper Kettle</x:v>
      </x:c>
      <x:c r="E420" s="63" t="n">
        <x:v>4</x:v>
      </x:c>
      <x:c r="F420" s="63" t="n">
        <x:v>4</x:v>
      </x:c>
      <x:c r="G420" s="54" t="str">
        <x:v>RECONSTRUCTED</x:v>
      </x:c>
      <x:c r="H420" s="54" t="str">
        <x:v>QAR-0001 &gt; QAR-0011 &gt; OFT-0021 &gt; PRT-0136</x:v>
      </x:c>
      <x:c r="I420"/>
    </x:row>
    <x:row r="421">
      <x:c r="A421" s="63" t="n">
        <x:v>3</x:v>
      </x:c>
      <x:c r="B421" s="63" t="str">
        <x:v>OFT-0021</x:v>
      </x:c>
      <x:c r="C421" s="63" t="str">
        <x:v>PRT-0137</x:v>
      </x:c>
      <x:c r="D421" s="63" t="str">
        <x:v>Copper Cooking Pot</x:v>
      </x:c>
      <x:c r="E421" s="63" t="n">
        <x:v>6</x:v>
      </x:c>
      <x:c r="F421" s="63" t="n">
        <x:v>6</x:v>
      </x:c>
      <x:c r="G421" s="54" t="str">
        <x:v>RECONSTRUCTED</x:v>
      </x:c>
      <x:c r="H421" s="54" t="str">
        <x:v>QAR-0001 &gt; QAR-0011 &gt; OFT-0021 &gt; PRT-0137</x:v>
      </x:c>
      <x:c r="I421"/>
    </x:row>
    <x:row r="422">
      <x:c r="A422" s="63" t="n">
        <x:v>3</x:v>
      </x:c>
      <x:c r="B422" s="63" t="str">
        <x:v>OFT-0021</x:v>
      </x:c>
      <x:c r="C422" s="63" t="str">
        <x:v>PRT-0138</x:v>
      </x:c>
      <x:c r="D422" s="63" t="str">
        <x:v>Iron Frying Pan</x:v>
      </x:c>
      <x:c r="E422" s="63" t="n">
        <x:v>4</x:v>
      </x:c>
      <x:c r="F422" s="63" t="n">
        <x:v>4</x:v>
      </x:c>
      <x:c r="G422" s="54" t="str">
        <x:v>RECONSTRUCTED</x:v>
      </x:c>
      <x:c r="H422" s="54" t="str">
        <x:v>QAR-0001 &gt; QAR-0011 &gt; OFT-0021 &gt; PRT-0138</x:v>
      </x:c>
      <x:c r="I422"/>
    </x:row>
    <x:row r="423">
      <x:c r="A423" s="63" t="n">
        <x:v>3</x:v>
      </x:c>
      <x:c r="B423" s="63" t="str">
        <x:v>OFT-0021</x:v>
      </x:c>
      <x:c r="C423" s="63" t="str">
        <x:v>PRT-0139</x:v>
      </x:c>
      <x:c r="D423" s="63" t="str">
        <x:v>Long-Handled Galley Ladle</x:v>
      </x:c>
      <x:c r="E423" s="63" t="n">
        <x:v>6</x:v>
      </x:c>
      <x:c r="F423" s="63" t="n">
        <x:v>6</x:v>
      </x:c>
      <x:c r="G423" s="54" t="str">
        <x:v>RECONSTRUCTED</x:v>
      </x:c>
      <x:c r="H423" s="54" t="str">
        <x:v>QAR-0001 &gt; QAR-0011 &gt; OFT-0021 &gt; PRT-0139</x:v>
      </x:c>
      <x:c r="I423"/>
    </x:row>
    <x:row r="424">
      <x:c r="A424" s="63" t="n">
        <x:v>3</x:v>
      </x:c>
      <x:c r="B424" s="63" t="str">
        <x:v>OFT-0021</x:v>
      </x:c>
      <x:c r="C424" s="63" t="str">
        <x:v>PRT-0140</x:v>
      </x:c>
      <x:c r="D424" s="63" t="str">
        <x:v>Cook's Knife</x:v>
      </x:c>
      <x:c r="E424" s="63" t="n">
        <x:v>8</x:v>
      </x:c>
      <x:c r="F424" s="63" t="n">
        <x:v>8</x:v>
      </x:c>
      <x:c r="G424" s="54" t="str">
        <x:v>RECONSTRUCTED</x:v>
      </x:c>
      <x:c r="H424" s="54" t="str">
        <x:v>QAR-0001 &gt; QAR-0011 &gt; OFT-0021 &gt; PRT-0140</x:v>
      </x:c>
      <x:c r="I424"/>
    </x:row>
    <x:row r="425">
      <x:c r="A425" s="63" t="n">
        <x:v>3</x:v>
      </x:c>
      <x:c r="B425" s="63" t="str">
        <x:v>OFT-0021</x:v>
      </x:c>
      <x:c r="C425" s="63" t="str">
        <x:v>PRT-0141</x:v>
      </x:c>
      <x:c r="D425" s="63" t="str">
        <x:v>Galley Cleaver</x:v>
      </x:c>
      <x:c r="E425" s="63" t="n">
        <x:v>4</x:v>
      </x:c>
      <x:c r="F425" s="63" t="n">
        <x:v>4</x:v>
      </x:c>
      <x:c r="G425" s="54" t="str">
        <x:v>RECONSTRUCTED</x:v>
      </x:c>
      <x:c r="H425" s="54" t="str">
        <x:v>QAR-0001 &gt; QAR-0011 &gt; OFT-0021 &gt; PRT-0141</x:v>
      </x:c>
      <x:c r="I425"/>
    </x:row>
    <x:row r="426">
      <x:c r="A426" s="63" t="n">
        <x:v>2</x:v>
      </x:c>
      <x:c r="B426" s="63" t="str">
        <x:v>QAR-0011</x:v>
      </x:c>
      <x:c r="C426" s="63" t="str">
        <x:v>KIT-0040</x:v>
      </x:c>
      <x:c r="D426" s="63" t="str">
        <x:v>Six-Person Common Mess Kit</x:v>
      </x:c>
      <x:c r="E426" s="63" t="n">
        <x:v>48</x:v>
      </x:c>
      <x:c r="F426" s="63" t="n">
        <x:v>48</x:v>
      </x:c>
      <x:c r="G426" s="54" t="str">
        <x:v>RECONSTRUCTED</x:v>
      </x:c>
      <x:c r="H426" s="54" t="str">
        <x:v>QAR-0001 &gt; QAR-0011 &gt; KIT-0040</x:v>
      </x:c>
      <x:c r="I426"/>
    </x:row>
    <x:row r="427">
      <x:c r="A427" s="63" t="n">
        <x:v>3</x:v>
      </x:c>
      <x:c r="B427" s="63" t="str">
        <x:v>KIT-0040</x:v>
      </x:c>
      <x:c r="C427" s="63" t="str">
        <x:v>PRT-0143</x:v>
      </x:c>
      <x:c r="D427" s="63" t="str">
        <x:v>Pewter Bowl</x:v>
      </x:c>
      <x:c r="E427" s="63" t="n">
        <x:v>6</x:v>
      </x:c>
      <x:c r="F427" s="63" t="n">
        <x:v>288</x:v>
      </x:c>
      <x:c r="G427" s="54" t="str">
        <x:v>RECOVERED</x:v>
      </x:c>
      <x:c r="H427" s="54" t="str">
        <x:v>QAR-0001 &gt; QAR-0011 &gt; KIT-0040 &gt; PRT-0143</x:v>
      </x:c>
      <x:c r="I427"/>
    </x:row>
    <x:row r="428">
      <x:c r="A428" s="63" t="n">
        <x:v>3</x:v>
      </x:c>
      <x:c r="B428" s="63" t="str">
        <x:v>KIT-0040</x:v>
      </x:c>
      <x:c r="C428" s="63" t="str">
        <x:v>PRT-0144</x:v>
      </x:c>
      <x:c r="D428" s="63" t="str">
        <x:v>Pewter Spoon</x:v>
      </x:c>
      <x:c r="E428" s="63" t="n">
        <x:v>6</x:v>
      </x:c>
      <x:c r="F428" s="63" t="n">
        <x:v>288</x:v>
      </x:c>
      <x:c r="G428" s="54" t="str">
        <x:v>RECOVERED</x:v>
      </x:c>
      <x:c r="H428" s="54" t="str">
        <x:v>QAR-0001 &gt; QAR-0011 &gt; KIT-0040 &gt; PRT-0144</x:v>
      </x:c>
      <x:c r="I428"/>
    </x:row>
    <x:row r="429">
      <x:c r="A429" s="63" t="n">
        <x:v>3</x:v>
      </x:c>
      <x:c r="B429" s="63" t="str">
        <x:v>KIT-0040</x:v>
      </x:c>
      <x:c r="C429" s="63" t="str">
        <x:v>PRT-0145</x:v>
      </x:c>
      <x:c r="D429" s="63" t="str">
        <x:v>Wooden Drinking Mug</x:v>
      </x:c>
      <x:c r="E429" s="63" t="n">
        <x:v>6</x:v>
      </x:c>
      <x:c r="F429" s="63" t="n">
        <x:v>288</x:v>
      </x:c>
      <x:c r="G429" s="54" t="str">
        <x:v>RECONSTRUCTED</x:v>
      </x:c>
      <x:c r="H429" s="54" t="str">
        <x:v>QAR-0001 &gt; QAR-0011 &gt; KIT-0040 &gt; PRT-0145</x:v>
      </x:c>
      <x:c r="I429"/>
    </x:row>
    <x:row r="430">
      <x:c r="A430" s="63" t="n">
        <x:v>3</x:v>
      </x:c>
      <x:c r="B430" s="63" t="str">
        <x:v>KIT-0040</x:v>
      </x:c>
      <x:c r="C430" s="63" t="str">
        <x:v>PRT-0146</x:v>
      </x:c>
      <x:c r="D430" s="63" t="str">
        <x:v>Common Mess Knife</x:v>
      </x:c>
      <x:c r="E430" s="63" t="n">
        <x:v>2</x:v>
      </x:c>
      <x:c r="F430" s="63" t="n">
        <x:v>96</x:v>
      </x:c>
      <x:c r="G430" s="54" t="str">
        <x:v>RECONSTRUCTED</x:v>
      </x:c>
      <x:c r="H430" s="54" t="str">
        <x:v>QAR-0001 &gt; QAR-0011 &gt; KIT-0040 &gt; PRT-0146</x:v>
      </x:c>
      <x:c r="I430"/>
    </x:row>
    <x:row r="431">
      <x:c r="A431" s="63" t="n">
        <x:v>2</x:v>
      </x:c>
      <x:c r="B431" s="63" t="str">
        <x:v>QAR-0011</x:v>
      </x:c>
      <x:c r="C431" s="63" t="str">
        <x:v>KIT-0041</x:v>
      </x:c>
      <x:c r="D431" s="63" t="str">
        <x:v>Six-Person Officer Mess Kit</x:v>
      </x:c>
      <x:c r="E431" s="63" t="n">
        <x:v>2</x:v>
      </x:c>
      <x:c r="F431" s="63" t="n">
        <x:v>2</x:v>
      </x:c>
      <x:c r="G431" s="54" t="str">
        <x:v>RECONSTRUCTED</x:v>
      </x:c>
      <x:c r="H431" s="54" t="str">
        <x:v>QAR-0001 &gt; QAR-0011 &gt; KIT-0041</x:v>
      </x:c>
      <x:c r="I431"/>
    </x:row>
    <x:row r="432">
      <x:c r="A432" s="63" t="n">
        <x:v>3</x:v>
      </x:c>
      <x:c r="B432" s="63" t="str">
        <x:v>KIT-0041</x:v>
      </x:c>
      <x:c r="C432" s="63" t="str">
        <x:v>PRT-0142</x:v>
      </x:c>
      <x:c r="D432" s="63" t="str">
        <x:v>Pewter Plate</x:v>
      </x:c>
      <x:c r="E432" s="63" t="n">
        <x:v>6</x:v>
      </x:c>
      <x:c r="F432" s="63" t="n">
        <x:v>12</x:v>
      </x:c>
      <x:c r="G432" s="54" t="str">
        <x:v>RECOVERED</x:v>
      </x:c>
      <x:c r="H432" s="54" t="str">
        <x:v>QAR-0001 &gt; QAR-0011 &gt; KIT-0041 &gt; PRT-0142</x:v>
      </x:c>
      <x:c r="I432"/>
    </x:row>
    <x:row r="433">
      <x:c r="A433" s="63" t="n">
        <x:v>3</x:v>
      </x:c>
      <x:c r="B433" s="63" t="str">
        <x:v>KIT-0041</x:v>
      </x:c>
      <x:c r="C433" s="63" t="str">
        <x:v>PRT-0143</x:v>
      </x:c>
      <x:c r="D433" s="63" t="str">
        <x:v>Pewter Bowl</x:v>
      </x:c>
      <x:c r="E433" s="63" t="n">
        <x:v>6</x:v>
      </x:c>
      <x:c r="F433" s="63" t="n">
        <x:v>12</x:v>
      </x:c>
      <x:c r="G433" s="54" t="str">
        <x:v>RECOVERED</x:v>
      </x:c>
      <x:c r="H433" s="54" t="str">
        <x:v>QAR-0001 &gt; QAR-0011 &gt; KIT-0041 &gt; PRT-0143</x:v>
      </x:c>
      <x:c r="I433"/>
    </x:row>
    <x:row r="434">
      <x:c r="A434" s="63" t="n">
        <x:v>3</x:v>
      </x:c>
      <x:c r="B434" s="63" t="str">
        <x:v>KIT-0041</x:v>
      </x:c>
      <x:c r="C434" s="63" t="str">
        <x:v>PRT-0144</x:v>
      </x:c>
      <x:c r="D434" s="63" t="str">
        <x:v>Pewter Spoon</x:v>
      </x:c>
      <x:c r="E434" s="63" t="n">
        <x:v>6</x:v>
      </x:c>
      <x:c r="F434" s="63" t="n">
        <x:v>12</x:v>
      </x:c>
      <x:c r="G434" s="54" t="str">
        <x:v>RECOVERED</x:v>
      </x:c>
      <x:c r="H434" s="54" t="str">
        <x:v>QAR-0001 &gt; QAR-0011 &gt; KIT-0041 &gt; PRT-0144</x:v>
      </x:c>
      <x:c r="I434"/>
    </x:row>
    <x:row r="435">
      <x:c r="A435" s="63" t="n">
        <x:v>3</x:v>
      </x:c>
      <x:c r="B435" s="63" t="str">
        <x:v>KIT-0041</x:v>
      </x:c>
      <x:c r="C435" s="63" t="str">
        <x:v>PRT-0147</x:v>
      </x:c>
      <x:c r="D435" s="63" t="str">
        <x:v>Large Pewter Charger</x:v>
      </x:c>
      <x:c r="E435" s="63" t="n">
        <x:v>2</x:v>
      </x:c>
      <x:c r="F435" s="63" t="n">
        <x:v>4</x:v>
      </x:c>
      <x:c r="G435" s="54" t="str">
        <x:v>RECOVERED</x:v>
      </x:c>
      <x:c r="H435" s="54" t="str">
        <x:v>QAR-0001 &gt; QAR-0011 &gt; KIT-0041 &gt; PRT-0147</x:v>
      </x:c>
      <x:c r="I435"/>
    </x:row>
    <x:row r="436">
      <x:c r="A436" s="63" t="n">
        <x:v>3</x:v>
      </x:c>
      <x:c r="B436" s="63" t="str">
        <x:v>KIT-0041</x:v>
      </x:c>
      <x:c r="C436" s="63" t="str">
        <x:v>PRT-0148</x:v>
      </x:c>
      <x:c r="D436" s="63" t="str">
        <x:v>Officer's Wine Glass</x:v>
      </x:c>
      <x:c r="E436" s="63" t="n">
        <x:v>6</x:v>
      </x:c>
      <x:c r="F436" s="63" t="n">
        <x:v>12</x:v>
      </x:c>
      <x:c r="G436" s="54" t="str">
        <x:v>RECOVERED</x:v>
      </x:c>
      <x:c r="H436" s="54" t="str">
        <x:v>QAR-0001 &gt; QAR-0011 &gt; KIT-0041 &gt; PRT-0148</x:v>
      </x:c>
      <x:c r="I436"/>
    </x:row>
    <x:row r="437">
      <x:c r="A437" s="63" t="n">
        <x:v>3</x:v>
      </x:c>
      <x:c r="B437" s="63" t="str">
        <x:v>KIT-0041</x:v>
      </x:c>
      <x:c r="C437" s="63" t="str">
        <x:v>PRT-0146</x:v>
      </x:c>
      <x:c r="D437" s="63" t="str">
        <x:v>Common Mess Knife</x:v>
      </x:c>
      <x:c r="E437" s="63" t="n">
        <x:v>6</x:v>
      </x:c>
      <x:c r="F437" s="63" t="n">
        <x:v>12</x:v>
      </x:c>
      <x:c r="G437" s="54" t="str">
        <x:v>RECONSTRUCTED</x:v>
      </x:c>
      <x:c r="H437" s="54" t="str">
        <x:v>QAR-0001 &gt; QAR-0011 &gt; KIT-0041 &gt; PRT-0146</x:v>
      </x:c>
      <x:c r="I437"/>
    </x:row>
    <x:row r="438">
      <x:c r="A438" s="63" t="n">
        <x:v>2</x:v>
      </x:c>
      <x:c r="B438" s="63" t="str">
        <x:v>QAR-0011</x:v>
      </x:c>
      <x:c r="C438" s="63" t="str">
        <x:v>OFT-0022</x:v>
      </x:c>
      <x:c r="D438" s="63" t="str">
        <x:v>Drinking Water Service Outfit</x:v>
      </x:c>
      <x:c r="E438" s="63" t="n">
        <x:v>1</x:v>
      </x:c>
      <x:c r="F438" s="63" t="n">
        <x:v>1</x:v>
      </x:c>
      <x:c r="G438" s="54" t="str">
        <x:v>RECONSTRUCTED</x:v>
      </x:c>
      <x:c r="H438" s="54" t="str">
        <x:v>QAR-0001 &gt; QAR-0011 &gt; OFT-0022</x:v>
      </x:c>
      <x:c r="I438"/>
    </x:row>
    <x:row r="439">
      <x:c r="A439" s="63" t="n">
        <x:v>3</x:v>
      </x:c>
      <x:c r="B439" s="63" t="str">
        <x:v>OFT-0022</x:v>
      </x:c>
      <x:c r="C439" s="63" t="str">
        <x:v>PRT-0149</x:v>
      </x:c>
      <x:c r="D439" s="63" t="str">
        <x:v>Water Cask Dipper</x:v>
      </x:c>
      <x:c r="E439" s="63" t="n">
        <x:v>8</x:v>
      </x:c>
      <x:c r="F439" s="63" t="n">
        <x:v>8</x:v>
      </x:c>
      <x:c r="G439" s="54" t="str">
        <x:v>RECONSTRUCTED</x:v>
      </x:c>
      <x:c r="H439" s="54" t="str">
        <x:v>QAR-0001 &gt; QAR-0011 &gt; OFT-0022 &gt; PRT-0149</x:v>
      </x:c>
      <x:c r="I439"/>
    </x:row>
    <x:row r="440">
      <x:c r="A440" s="63" t="n">
        <x:v>3</x:v>
      </x:c>
      <x:c r="B440" s="63" t="str">
        <x:v>OFT-0022</x:v>
      </x:c>
      <x:c r="C440" s="63" t="str">
        <x:v>PRT-0150</x:v>
      </x:c>
      <x:c r="D440" s="63" t="str">
        <x:v>Drinking Water Bucket</x:v>
      </x:c>
      <x:c r="E440" s="63" t="n">
        <x:v>12</x:v>
      </x:c>
      <x:c r="F440" s="63" t="n">
        <x:v>12</x:v>
      </x:c>
      <x:c r="G440" s="54" t="str">
        <x:v>RECONSTRUCTED</x:v>
      </x:c>
      <x:c r="H440" s="54" t="str">
        <x:v>QAR-0001 &gt; QAR-0011 &gt; OFT-0022 &gt; PRT-0150</x:v>
      </x:c>
      <x:c r="I440"/>
    </x:row>
    <x:row r="441">
      <x:c r="A441" s="63" t="n">
        <x:v>1</x:v>
      </x:c>
      <x:c r="B441" s="63" t="str">
        <x:v>QAR-0001</x:v>
      </x:c>
      <x:c r="C441" s="63" t="str">
        <x:v>QAR-0012</x:v>
      </x:c>
      <x:c r="D441" s="63" t="str">
        <x:v>Thirty-Day Voyage Provisions for 300</x:v>
      </x:c>
      <x:c r="E441" s="63" t="n">
        <x:v>1</x:v>
      </x:c>
      <x:c r="F441" s="63" t="n">
        <x:v>1</x:v>
      </x:c>
      <x:c r="G441" s="54" t="str">
        <x:v>RECONSTRUCTED</x:v>
      </x:c>
      <x:c r="H441" s="54" t="str">
        <x:v>QAR-0001 &gt; QAR-0012</x:v>
      </x:c>
      <x:c r="I441"/>
    </x:row>
    <x:row r="442">
      <x:c r="A442" s="63" t="n">
        <x:v>2</x:v>
      </x:c>
      <x:c r="B442" s="63" t="str">
        <x:v>QAR-0012</x:v>
      </x:c>
      <x:c r="C442" s="63" t="str">
        <x:v>ASM-0042</x:v>
      </x:c>
      <x:c r="D442" s="63" t="str">
        <x:v>Potable Water Cask, 50 gal</x:v>
      </x:c>
      <x:c r="E442" s="63" t="n">
        <x:v>120</x:v>
      </x:c>
      <x:c r="F442" s="63" t="n">
        <x:v>120</x:v>
      </x:c>
      <x:c r="G442" s="54" t="str">
        <x:v>RECONSTRUCTED</x:v>
      </x:c>
      <x:c r="H442" s="54" t="str">
        <x:v>QAR-0001 &gt; QAR-0012 &gt; ASM-0042</x:v>
      </x:c>
      <x:c r="I442"/>
    </x:row>
    <x:row r="443">
      <x:c r="A443" s="63" t="n">
        <x:v>3</x:v>
      </x:c>
      <x:c r="B443" s="63" t="str">
        <x:v>ASM-0042</x:v>
      </x:c>
      <x:c r="C443" s="63" t="str">
        <x:v>PKG-0009</x:v>
      </x:c>
      <x:c r="D443" s="63" t="str">
        <x:v>Oak Cask, 50 gal Capacity</x:v>
      </x:c>
      <x:c r="E443" s="63" t="n">
        <x:v>1</x:v>
      </x:c>
      <x:c r="F443" s="63" t="n">
        <x:v>120</x:v>
      </x:c>
      <x:c r="G443" s="54" t="str">
        <x:v>RECOVERED</x:v>
      </x:c>
      <x:c r="H443" s="54" t="str">
        <x:v>QAR-0001 &gt; QAR-0012 &gt; ASM-0042 &gt; PKG-0009</x:v>
      </x:c>
      <x:c r="I443"/>
    </x:row>
    <x:row r="444">
      <x:c r="A444" s="63" t="n">
        <x:v>3</x:v>
      </x:c>
      <x:c r="B444" s="63" t="str">
        <x:v>ASM-0042</x:v>
      </x:c>
      <x:c r="C444" s="63" t="str">
        <x:v>MAT-0026</x:v>
      </x:c>
      <x:c r="D444" s="63" t="str">
        <x:v>Potable Water, Gallon</x:v>
      </x:c>
      <x:c r="E444" s="63" t="n">
        <x:v>50</x:v>
      </x:c>
      <x:c r="F444" s="63" t="n">
        <x:v>6000</x:v>
      </x:c>
      <x:c r="G444" s="54" t="str">
        <x:v>RECONSTRUCTED</x:v>
      </x:c>
      <x:c r="H444" s="54" t="str">
        <x:v>QAR-0001 &gt; QAR-0012 &gt; ASM-0042 &gt; MAT-0026</x:v>
      </x:c>
      <x:c r="I444"/>
    </x:row>
    <x:row r="445">
      <x:c r="A445" s="63" t="n">
        <x:v>3</x:v>
      </x:c>
      <x:c r="B445" s="63" t="str">
        <x:v>ASM-0042</x:v>
      </x:c>
      <x:c r="C445" s="63" t="str">
        <x:v>LBL-0007</x:v>
      </x:c>
      <x:c r="D445" s="63" t="str">
        <x:v>Provision Label - Potable Water</x:v>
      </x:c>
      <x:c r="E445" s="63" t="n">
        <x:v>1</x:v>
      </x:c>
      <x:c r="F445" s="63" t="n">
        <x:v>120</x:v>
      </x:c>
      <x:c r="G445" s="54" t="str">
        <x:v>FICTIONAL</x:v>
      </x:c>
      <x:c r="H445" s="54" t="str">
        <x:v>QAR-0001 &gt; QAR-0012 &gt; ASM-0042 &gt; LBL-0007</x:v>
      </x:c>
      <x:c r="I445"/>
    </x:row>
    <x:row r="446">
      <x:c r="A446" s="63" t="n">
        <x:v>2</x:v>
      </x:c>
      <x:c r="B446" s="63" t="str">
        <x:v>QAR-0012</x:v>
      </x:c>
      <x:c r="C446" s="63" t="str">
        <x:v>ASM-0043</x:v>
      </x:c>
      <x:c r="D446" s="63" t="str">
        <x:v>Rum Cask, 50 gal</x:v>
      </x:c>
      <x:c r="E446" s="63" t="n">
        <x:v>12</x:v>
      </x:c>
      <x:c r="F446" s="63" t="n">
        <x:v>12</x:v>
      </x:c>
      <x:c r="G446" s="54" t="str">
        <x:v>RECONSTRUCTED</x:v>
      </x:c>
      <x:c r="H446" s="54" t="str">
        <x:v>QAR-0001 &gt; QAR-0012 &gt; ASM-0043</x:v>
      </x:c>
      <x:c r="I446"/>
    </x:row>
    <x:row r="447">
      <x:c r="A447" s="63" t="n">
        <x:v>3</x:v>
      </x:c>
      <x:c r="B447" s="63" t="str">
        <x:v>ASM-0043</x:v>
      </x:c>
      <x:c r="C447" s="63" t="str">
        <x:v>PKG-0009</x:v>
      </x:c>
      <x:c r="D447" s="63" t="str">
        <x:v>Oak Cask, 50 gal Capacity</x:v>
      </x:c>
      <x:c r="E447" s="63" t="n">
        <x:v>1</x:v>
      </x:c>
      <x:c r="F447" s="63" t="n">
        <x:v>12</x:v>
      </x:c>
      <x:c r="G447" s="54" t="str">
        <x:v>RECOVERED</x:v>
      </x:c>
      <x:c r="H447" s="54" t="str">
        <x:v>QAR-0001 &gt; QAR-0012 &gt; ASM-0043 &gt; PKG-0009</x:v>
      </x:c>
      <x:c r="I447"/>
    </x:row>
    <x:row r="448">
      <x:c r="A448" s="63" t="n">
        <x:v>3</x:v>
      </x:c>
      <x:c r="B448" s="63" t="str">
        <x:v>ASM-0043</x:v>
      </x:c>
      <x:c r="C448" s="63" t="str">
        <x:v>MAT-0027</x:v>
      </x:c>
      <x:c r="D448" s="63" t="str">
        <x:v>Caribbean Rum, Gallon</x:v>
      </x:c>
      <x:c r="E448" s="63" t="n">
        <x:v>50</x:v>
      </x:c>
      <x:c r="F448" s="63" t="n">
        <x:v>600</x:v>
      </x:c>
      <x:c r="G448" s="54" t="str">
        <x:v>RECONSTRUCTED</x:v>
      </x:c>
      <x:c r="H448" s="54" t="str">
        <x:v>QAR-0001 &gt; QAR-0012 &gt; ASM-0043 &gt; MAT-0027</x:v>
      </x:c>
      <x:c r="I448"/>
    </x:row>
    <x:row r="449">
      <x:c r="A449" s="63" t="n">
        <x:v>3</x:v>
      </x:c>
      <x:c r="B449" s="63" t="str">
        <x:v>ASM-0043</x:v>
      </x:c>
      <x:c r="C449" s="63" t="str">
        <x:v>LBL-0008</x:v>
      </x:c>
      <x:c r="D449" s="63" t="str">
        <x:v>Provision Label - Rum / Flammable</x:v>
      </x:c>
      <x:c r="E449" s="63" t="n">
        <x:v>1</x:v>
      </x:c>
      <x:c r="F449" s="63" t="n">
        <x:v>12</x:v>
      </x:c>
      <x:c r="G449" s="54" t="str">
        <x:v>FICTIONAL</x:v>
      </x:c>
      <x:c r="H449" s="54" t="str">
        <x:v>QAR-0001 &gt; QAR-0012 &gt; ASM-0043 &gt; LBL-0008</x:v>
      </x:c>
      <x:c r="I449"/>
    </x:row>
    <x:row r="450">
      <x:c r="A450" s="63" t="n">
        <x:v>2</x:v>
      </x:c>
      <x:c r="B450" s="63" t="str">
        <x:v>QAR-0012</x:v>
      </x:c>
      <x:c r="C450" s="63" t="str">
        <x:v>ASM-0044</x:v>
      </x:c>
      <x:c r="D450" s="63" t="str">
        <x:v>Vinegar Cask, 25 gal</x:v>
      </x:c>
      <x:c r="E450" s="63" t="n">
        <x:v>4</x:v>
      </x:c>
      <x:c r="F450" s="63" t="n">
        <x:v>4</x:v>
      </x:c>
      <x:c r="G450" s="54" t="str">
        <x:v>RECONSTRUCTED</x:v>
      </x:c>
      <x:c r="H450" s="54" t="str">
        <x:v>QAR-0001 &gt; QAR-0012 &gt; ASM-0044</x:v>
      </x:c>
      <x:c r="I450"/>
    </x:row>
    <x:row r="451">
      <x:c r="A451" s="63" t="n">
        <x:v>3</x:v>
      </x:c>
      <x:c r="B451" s="63" t="str">
        <x:v>ASM-0044</x:v>
      </x:c>
      <x:c r="C451" s="63" t="str">
        <x:v>PKG-0011</x:v>
      </x:c>
      <x:c r="D451" s="63" t="str">
        <x:v>Oak Cask, 25 gal Capacity</x:v>
      </x:c>
      <x:c r="E451" s="63" t="n">
        <x:v>1</x:v>
      </x:c>
      <x:c r="F451" s="63" t="n">
        <x:v>4</x:v>
      </x:c>
      <x:c r="G451" s="54" t="str">
        <x:v>RECOVERED</x:v>
      </x:c>
      <x:c r="H451" s="54" t="str">
        <x:v>QAR-0001 &gt; QAR-0012 &gt; ASM-0044 &gt; PKG-0011</x:v>
      </x:c>
      <x:c r="I451"/>
    </x:row>
    <x:row r="452">
      <x:c r="A452" s="63" t="n">
        <x:v>3</x:v>
      </x:c>
      <x:c r="B452" s="63" t="str">
        <x:v>ASM-0044</x:v>
      </x:c>
      <x:c r="C452" s="63" t="str">
        <x:v>MAT-0028</x:v>
      </x:c>
      <x:c r="D452" s="63" t="str">
        <x:v>Vinegar, Gallon</x:v>
      </x:c>
      <x:c r="E452" s="63" t="n">
        <x:v>25</x:v>
      </x:c>
      <x:c r="F452" s="63" t="n">
        <x:v>100</x:v>
      </x:c>
      <x:c r="G452" s="54" t="str">
        <x:v>RECONSTRUCTED</x:v>
      </x:c>
      <x:c r="H452" s="54" t="str">
        <x:v>QAR-0001 &gt; QAR-0012 &gt; ASM-0044 &gt; MAT-0028</x:v>
      </x:c>
      <x:c r="I452"/>
    </x:row>
    <x:row r="453">
      <x:c r="A453" s="63" t="n">
        <x:v>3</x:v>
      </x:c>
      <x:c r="B453" s="63" t="str">
        <x:v>ASM-0044</x:v>
      </x:c>
      <x:c r="C453" s="63" t="str">
        <x:v>LBL-0010</x:v>
      </x:c>
      <x:c r="D453" s="63" t="str">
        <x:v>Provision Label - Vinegar</x:v>
      </x:c>
      <x:c r="E453" s="63" t="n">
        <x:v>1</x:v>
      </x:c>
      <x:c r="F453" s="63" t="n">
        <x:v>4</x:v>
      </x:c>
      <x:c r="G453" s="54" t="str">
        <x:v>FICTIONAL</x:v>
      </x:c>
      <x:c r="H453" s="54" t="str">
        <x:v>QAR-0001 &gt; QAR-0012 &gt; ASM-0044 &gt; LBL-0010</x:v>
      </x:c>
      <x:c r="I453"/>
    </x:row>
    <x:row r="454">
      <x:c r="A454" s="63" t="n">
        <x:v>2</x:v>
      </x:c>
      <x:c r="B454" s="63" t="str">
        <x:v>QAR-0012</x:v>
      </x:c>
      <x:c r="C454" s="63" t="str">
        <x:v>ASM-0045</x:v>
      </x:c>
      <x:c r="D454" s="63" t="str">
        <x:v>Ship's Biscuit Cask, 100 lb</x:v>
      </x:c>
      <x:c r="E454" s="63" t="n">
        <x:v>90</x:v>
      </x:c>
      <x:c r="F454" s="63" t="n">
        <x:v>90</x:v>
      </x:c>
      <x:c r="G454" s="54" t="str">
        <x:v>RECONSTRUCTED</x:v>
      </x:c>
      <x:c r="H454" s="54" t="str">
        <x:v>QAR-0001 &gt; QAR-0012 &gt; ASM-0045</x:v>
      </x:c>
      <x:c r="I454"/>
    </x:row>
    <x:row r="455">
      <x:c r="A455" s="63" t="n">
        <x:v>3</x:v>
      </x:c>
      <x:c r="B455" s="63" t="str">
        <x:v>ASM-0045</x:v>
      </x:c>
      <x:c r="C455" s="63" t="str">
        <x:v>PKG-0010</x:v>
      </x:c>
      <x:c r="D455" s="63" t="str">
        <x:v>Oak Provision Barrel, 200 lb Capacity</x:v>
      </x:c>
      <x:c r="E455" s="63" t="n">
        <x:v>1</x:v>
      </x:c>
      <x:c r="F455" s="63" t="n">
        <x:v>90</x:v>
      </x:c>
      <x:c r="G455" s="54" t="str">
        <x:v>RECOVERED</x:v>
      </x:c>
      <x:c r="H455" s="54" t="str">
        <x:v>QAR-0001 &gt; QAR-0012 &gt; ASM-0045 &gt; PKG-0010</x:v>
      </x:c>
      <x:c r="I455"/>
    </x:row>
    <x:row r="456">
      <x:c r="A456" s="63" t="n">
        <x:v>3</x:v>
      </x:c>
      <x:c r="B456" s="63" t="str">
        <x:v>ASM-0045</x:v>
      </x:c>
      <x:c r="C456" s="63" t="str">
        <x:v>MAT-0029</x:v>
      </x:c>
      <x:c r="D456" s="63" t="str">
        <x:v>Ship's Biscuit, Pound</x:v>
      </x:c>
      <x:c r="E456" s="63" t="n">
        <x:v>100</x:v>
      </x:c>
      <x:c r="F456" s="63" t="n">
        <x:v>9000</x:v>
      </x:c>
      <x:c r="G456" s="54" t="str">
        <x:v>RECONSTRUCTED</x:v>
      </x:c>
      <x:c r="H456" s="54" t="str">
        <x:v>QAR-0001 &gt; QAR-0012 &gt; ASM-0045 &gt; MAT-0029</x:v>
      </x:c>
      <x:c r="I456"/>
    </x:row>
    <x:row r="457">
      <x:c r="A457" s="63" t="n">
        <x:v>3</x:v>
      </x:c>
      <x:c r="B457" s="63" t="str">
        <x:v>ASM-0045</x:v>
      </x:c>
      <x:c r="C457" s="63" t="str">
        <x:v>LBL-0009</x:v>
      </x:c>
      <x:c r="D457" s="63" t="str">
        <x:v>Provision Label - Food Lot</x:v>
      </x:c>
      <x:c r="E457" s="63" t="n">
        <x:v>1</x:v>
      </x:c>
      <x:c r="F457" s="63" t="n">
        <x:v>90</x:v>
      </x:c>
      <x:c r="G457" s="54" t="str">
        <x:v>FICTIONAL</x:v>
      </x:c>
      <x:c r="H457" s="54" t="str">
        <x:v>QAR-0001 &gt; QAR-0012 &gt; ASM-0045 &gt; LBL-0009</x:v>
      </x:c>
      <x:c r="I457"/>
    </x:row>
    <x:row r="458">
      <x:c r="A458" s="63" t="n">
        <x:v>2</x:v>
      </x:c>
      <x:c r="B458" s="63" t="str">
        <x:v>QAR-0012</x:v>
      </x:c>
      <x:c r="C458" s="63" t="str">
        <x:v>ASM-0046</x:v>
      </x:c>
      <x:c r="D458" s="63" t="str">
        <x:v>Salt Beef Barrel, 200 lb</x:v>
      </x:c>
      <x:c r="E458" s="63" t="n">
        <x:v>30</x:v>
      </x:c>
      <x:c r="F458" s="63" t="n">
        <x:v>30</x:v>
      </x:c>
      <x:c r="G458" s="54" t="str">
        <x:v>RECONSTRUCTED</x:v>
      </x:c>
      <x:c r="H458" s="54" t="str">
        <x:v>QAR-0001 &gt; QAR-0012 &gt; ASM-0046</x:v>
      </x:c>
      <x:c r="I458"/>
    </x:row>
    <x:row r="459">
      <x:c r="A459" s="63" t="n">
        <x:v>3</x:v>
      </x:c>
      <x:c r="B459" s="63" t="str">
        <x:v>ASM-0046</x:v>
      </x:c>
      <x:c r="C459" s="63" t="str">
        <x:v>PKG-0010</x:v>
      </x:c>
      <x:c r="D459" s="63" t="str">
        <x:v>Oak Provision Barrel, 200 lb Capacity</x:v>
      </x:c>
      <x:c r="E459" s="63" t="n">
        <x:v>1</x:v>
      </x:c>
      <x:c r="F459" s="63" t="n">
        <x:v>30</x:v>
      </x:c>
      <x:c r="G459" s="54" t="str">
        <x:v>RECOVERED</x:v>
      </x:c>
      <x:c r="H459" s="54" t="str">
        <x:v>QAR-0001 &gt; QAR-0012 &gt; ASM-0046 &gt; PKG-0010</x:v>
      </x:c>
      <x:c r="I459"/>
    </x:row>
    <x:row r="460">
      <x:c r="A460" s="63" t="n">
        <x:v>3</x:v>
      </x:c>
      <x:c r="B460" s="63" t="str">
        <x:v>ASM-0046</x:v>
      </x:c>
      <x:c r="C460" s="63" t="str">
        <x:v>MAT-0030</x:v>
      </x:c>
      <x:c r="D460" s="63" t="str">
        <x:v>Salt Beef, Pound</x:v>
      </x:c>
      <x:c r="E460" s="63" t="n">
        <x:v>200</x:v>
      </x:c>
      <x:c r="F460" s="63" t="n">
        <x:v>6000</x:v>
      </x:c>
      <x:c r="G460" s="54" t="str">
        <x:v>RECONSTRUCTED</x:v>
      </x:c>
      <x:c r="H460" s="54" t="str">
        <x:v>QAR-0001 &gt; QAR-0012 &gt; ASM-0046 &gt; MAT-0030</x:v>
      </x:c>
      <x:c r="I460"/>
    </x:row>
    <x:row r="461">
      <x:c r="A461" s="63" t="n">
        <x:v>3</x:v>
      </x:c>
      <x:c r="B461" s="63" t="str">
        <x:v>ASM-0046</x:v>
      </x:c>
      <x:c r="C461" s="63" t="str">
        <x:v>LBL-0009</x:v>
      </x:c>
      <x:c r="D461" s="63" t="str">
        <x:v>Provision Label - Food Lot</x:v>
      </x:c>
      <x:c r="E461" s="63" t="n">
        <x:v>1</x:v>
      </x:c>
      <x:c r="F461" s="63" t="n">
        <x:v>30</x:v>
      </x:c>
      <x:c r="G461" s="54" t="str">
        <x:v>FICTIONAL</x:v>
      </x:c>
      <x:c r="H461" s="54" t="str">
        <x:v>QAR-0001 &gt; QAR-0012 &gt; ASM-0046 &gt; LBL-0009</x:v>
      </x:c>
      <x:c r="I461"/>
    </x:row>
    <x:row r="462">
      <x:c r="A462" s="63" t="n">
        <x:v>2</x:v>
      </x:c>
      <x:c r="B462" s="63" t="str">
        <x:v>QAR-0012</x:v>
      </x:c>
      <x:c r="C462" s="63" t="str">
        <x:v>ASM-0047</x:v>
      </x:c>
      <x:c r="D462" s="63" t="str">
        <x:v>Salt Pork Barrel, 200 lb</x:v>
      </x:c>
      <x:c r="E462" s="63" t="n">
        <x:v>15</x:v>
      </x:c>
      <x:c r="F462" s="63" t="n">
        <x:v>15</x:v>
      </x:c>
      <x:c r="G462" s="54" t="str">
        <x:v>RECONSTRUCTED</x:v>
      </x:c>
      <x:c r="H462" s="54" t="str">
        <x:v>QAR-0001 &gt; QAR-0012 &gt; ASM-0047</x:v>
      </x:c>
      <x:c r="I462"/>
    </x:row>
    <x:row r="463">
      <x:c r="A463" s="63" t="n">
        <x:v>3</x:v>
      </x:c>
      <x:c r="B463" s="63" t="str">
        <x:v>ASM-0047</x:v>
      </x:c>
      <x:c r="C463" s="63" t="str">
        <x:v>PKG-0010</x:v>
      </x:c>
      <x:c r="D463" s="63" t="str">
        <x:v>Oak Provision Barrel, 200 lb Capacity</x:v>
      </x:c>
      <x:c r="E463" s="63" t="n">
        <x:v>1</x:v>
      </x:c>
      <x:c r="F463" s="63" t="n">
        <x:v>15</x:v>
      </x:c>
      <x:c r="G463" s="54" t="str">
        <x:v>RECOVERED</x:v>
      </x:c>
      <x:c r="H463" s="54" t="str">
        <x:v>QAR-0001 &gt; QAR-0012 &gt; ASM-0047 &gt; PKG-0010</x:v>
      </x:c>
      <x:c r="I463"/>
    </x:row>
    <x:row r="464">
      <x:c r="A464" s="63" t="n">
        <x:v>3</x:v>
      </x:c>
      <x:c r="B464" s="63" t="str">
        <x:v>ASM-0047</x:v>
      </x:c>
      <x:c r="C464" s="63" t="str">
        <x:v>MAT-0031</x:v>
      </x:c>
      <x:c r="D464" s="63" t="str">
        <x:v>Salt Pork, Pound</x:v>
      </x:c>
      <x:c r="E464" s="63" t="n">
        <x:v>200</x:v>
      </x:c>
      <x:c r="F464" s="63" t="n">
        <x:v>3000</x:v>
      </x:c>
      <x:c r="G464" s="54" t="str">
        <x:v>RECONSTRUCTED</x:v>
      </x:c>
      <x:c r="H464" s="54" t="str">
        <x:v>QAR-0001 &gt; QAR-0012 &gt; ASM-0047 &gt; MAT-0031</x:v>
      </x:c>
      <x:c r="I464"/>
    </x:row>
    <x:row r="465">
      <x:c r="A465" s="63" t="n">
        <x:v>3</x:v>
      </x:c>
      <x:c r="B465" s="63" t="str">
        <x:v>ASM-0047</x:v>
      </x:c>
      <x:c r="C465" s="63" t="str">
        <x:v>LBL-0009</x:v>
      </x:c>
      <x:c r="D465" s="63" t="str">
        <x:v>Provision Label - Food Lot</x:v>
      </x:c>
      <x:c r="E465" s="63" t="n">
        <x:v>1</x:v>
      </x:c>
      <x:c r="F465" s="63" t="n">
        <x:v>15</x:v>
      </x:c>
      <x:c r="G465" s="54" t="str">
        <x:v>FICTIONAL</x:v>
      </x:c>
      <x:c r="H465" s="54" t="str">
        <x:v>QAR-0001 &gt; QAR-0012 &gt; ASM-0047 &gt; LBL-0009</x:v>
      </x:c>
      <x:c r="I465"/>
    </x:row>
    <x:row r="466">
      <x:c r="A466" s="63" t="n">
        <x:v>2</x:v>
      </x:c>
      <x:c r="B466" s="63" t="str">
        <x:v>QAR-0012</x:v>
      </x:c>
      <x:c r="C466" s="63" t="str">
        <x:v>ASM-0048</x:v>
      </x:c>
      <x:c r="D466" s="63" t="str">
        <x:v>Dried Fish Barrel, 100 lb</x:v>
      </x:c>
      <x:c r="E466" s="63" t="n">
        <x:v>15</x:v>
      </x:c>
      <x:c r="F466" s="63" t="n">
        <x:v>15</x:v>
      </x:c>
      <x:c r="G466" s="54" t="str">
        <x:v>RECONSTRUCTED</x:v>
      </x:c>
      <x:c r="H466" s="54" t="str">
        <x:v>QAR-0001 &gt; QAR-0012 &gt; ASM-0048</x:v>
      </x:c>
      <x:c r="I466"/>
    </x:row>
    <x:row r="467">
      <x:c r="A467" s="63" t="n">
        <x:v>3</x:v>
      </x:c>
      <x:c r="B467" s="63" t="str">
        <x:v>ASM-0048</x:v>
      </x:c>
      <x:c r="C467" s="63" t="str">
        <x:v>PKG-0010</x:v>
      </x:c>
      <x:c r="D467" s="63" t="str">
        <x:v>Oak Provision Barrel, 200 lb Capacity</x:v>
      </x:c>
      <x:c r="E467" s="63" t="n">
        <x:v>1</x:v>
      </x:c>
      <x:c r="F467" s="63" t="n">
        <x:v>15</x:v>
      </x:c>
      <x:c r="G467" s="54" t="str">
        <x:v>RECOVERED</x:v>
      </x:c>
      <x:c r="H467" s="54" t="str">
        <x:v>QAR-0001 &gt; QAR-0012 &gt; ASM-0048 &gt; PKG-0010</x:v>
      </x:c>
      <x:c r="I467"/>
    </x:row>
    <x:row r="468">
      <x:c r="A468" s="63" t="n">
        <x:v>3</x:v>
      </x:c>
      <x:c r="B468" s="63" t="str">
        <x:v>ASM-0048</x:v>
      </x:c>
      <x:c r="C468" s="63" t="str">
        <x:v>MAT-0032</x:v>
      </x:c>
      <x:c r="D468" s="63" t="str">
        <x:v>Dried Fish, Pound</x:v>
      </x:c>
      <x:c r="E468" s="63" t="n">
        <x:v>100</x:v>
      </x:c>
      <x:c r="F468" s="63" t="n">
        <x:v>1500</x:v>
      </x:c>
      <x:c r="G468" s="54" t="str">
        <x:v>RECONSTRUCTED</x:v>
      </x:c>
      <x:c r="H468" s="54" t="str">
        <x:v>QAR-0001 &gt; QAR-0012 &gt; ASM-0048 &gt; MAT-0032</x:v>
      </x:c>
      <x:c r="I468"/>
    </x:row>
    <x:row r="469">
      <x:c r="A469" s="63" t="n">
        <x:v>3</x:v>
      </x:c>
      <x:c r="B469" s="63" t="str">
        <x:v>ASM-0048</x:v>
      </x:c>
      <x:c r="C469" s="63" t="str">
        <x:v>LBL-0009</x:v>
      </x:c>
      <x:c r="D469" s="63" t="str">
        <x:v>Provision Label - Food Lot</x:v>
      </x:c>
      <x:c r="E469" s="63" t="n">
        <x:v>1</x:v>
      </x:c>
      <x:c r="F469" s="63" t="n">
        <x:v>15</x:v>
      </x:c>
      <x:c r="G469" s="54" t="str">
        <x:v>FICTIONAL</x:v>
      </x:c>
      <x:c r="H469" s="54" t="str">
        <x:v>QAR-0001 &gt; QAR-0012 &gt; ASM-0048 &gt; LBL-0009</x:v>
      </x:c>
      <x:c r="I469"/>
    </x:row>
    <x:row r="470">
      <x:c r="A470" s="63" t="n">
        <x:v>2</x:v>
      </x:c>
      <x:c r="B470" s="63" t="str">
        <x:v>QAR-0012</x:v>
      </x:c>
      <x:c r="C470" s="63" t="str">
        <x:v>ASM-0049</x:v>
      </x:c>
      <x:c r="D470" s="63" t="str">
        <x:v>Dried Peas Sack, 50 lb</x:v>
      </x:c>
      <x:c r="E470" s="63" t="n">
        <x:v>30</x:v>
      </x:c>
      <x:c r="F470" s="63" t="n">
        <x:v>30</x:v>
      </x:c>
      <x:c r="G470" s="54" t="str">
        <x:v>RECONSTRUCTED</x:v>
      </x:c>
      <x:c r="H470" s="54" t="str">
        <x:v>QAR-0001 &gt; QAR-0012 &gt; ASM-0049</x:v>
      </x:c>
      <x:c r="I470"/>
    </x:row>
    <x:row r="471">
      <x:c r="A471" s="63" t="n">
        <x:v>3</x:v>
      </x:c>
      <x:c r="B471" s="63" t="str">
        <x:v>ASM-0049</x:v>
      </x:c>
      <x:c r="C471" s="63" t="str">
        <x:v>PKG-0012</x:v>
      </x:c>
      <x:c r="D471" s="63" t="str">
        <x:v>Waxed Provision Sack, 50 lb</x:v>
      </x:c>
      <x:c r="E471" s="63" t="n">
        <x:v>1</x:v>
      </x:c>
      <x:c r="F471" s="63" t="n">
        <x:v>30</x:v>
      </x:c>
      <x:c r="G471" s="54" t="str">
        <x:v>RECONSTRUCTED</x:v>
      </x:c>
      <x:c r="H471" s="54" t="str">
        <x:v>QAR-0001 &gt; QAR-0012 &gt; ASM-0049 &gt; PKG-0012</x:v>
      </x:c>
      <x:c r="I471"/>
    </x:row>
    <x:row r="472">
      <x:c r="A472" s="63" t="n">
        <x:v>3</x:v>
      </x:c>
      <x:c r="B472" s="63" t="str">
        <x:v>ASM-0049</x:v>
      </x:c>
      <x:c r="C472" s="63" t="str">
        <x:v>MAT-0033</x:v>
      </x:c>
      <x:c r="D472" s="63" t="str">
        <x:v>Dried Peas, Pound</x:v>
      </x:c>
      <x:c r="E472" s="63" t="n">
        <x:v>50</x:v>
      </x:c>
      <x:c r="F472" s="63" t="n">
        <x:v>1500</x:v>
      </x:c>
      <x:c r="G472" s="54" t="str">
        <x:v>RECONSTRUCTED</x:v>
      </x:c>
      <x:c r="H472" s="54" t="str">
        <x:v>QAR-0001 &gt; QAR-0012 &gt; ASM-0049 &gt; MAT-0033</x:v>
      </x:c>
      <x:c r="I472"/>
    </x:row>
    <x:row r="473">
      <x:c r="A473" s="63" t="n">
        <x:v>3</x:v>
      </x:c>
      <x:c r="B473" s="63" t="str">
        <x:v>ASM-0049</x:v>
      </x:c>
      <x:c r="C473" s="63" t="str">
        <x:v>LBL-0009</x:v>
      </x:c>
      <x:c r="D473" s="63" t="str">
        <x:v>Provision Label - Food Lot</x:v>
      </x:c>
      <x:c r="E473" s="63" t="n">
        <x:v>1</x:v>
      </x:c>
      <x:c r="F473" s="63" t="n">
        <x:v>30</x:v>
      </x:c>
      <x:c r="G473" s="54" t="str">
        <x:v>FICTIONAL</x:v>
      </x:c>
      <x:c r="H473" s="54" t="str">
        <x:v>QAR-0001 &gt; QAR-0012 &gt; ASM-0049 &gt; LBL-0009</x:v>
      </x:c>
      <x:c r="I473"/>
    </x:row>
    <x:row r="474">
      <x:c r="A474" s="63" t="n">
        <x:v>2</x:v>
      </x:c>
      <x:c r="B474" s="63" t="str">
        <x:v>QAR-0012</x:v>
      </x:c>
      <x:c r="C474" s="63" t="str">
        <x:v>ASM-0050</x:v>
      </x:c>
      <x:c r="D474" s="63" t="str">
        <x:v>Oatmeal Sack, 50 lb</x:v>
      </x:c>
      <x:c r="E474" s="63" t="n">
        <x:v>30</x:v>
      </x:c>
      <x:c r="F474" s="63" t="n">
        <x:v>30</x:v>
      </x:c>
      <x:c r="G474" s="54" t="str">
        <x:v>RECONSTRUCTED</x:v>
      </x:c>
      <x:c r="H474" s="54" t="str">
        <x:v>QAR-0001 &gt; QAR-0012 &gt; ASM-0050</x:v>
      </x:c>
      <x:c r="I474"/>
    </x:row>
    <x:row r="475">
      <x:c r="A475" s="63" t="n">
        <x:v>3</x:v>
      </x:c>
      <x:c r="B475" s="63" t="str">
        <x:v>ASM-0050</x:v>
      </x:c>
      <x:c r="C475" s="63" t="str">
        <x:v>PKG-0012</x:v>
      </x:c>
      <x:c r="D475" s="63" t="str">
        <x:v>Waxed Provision Sack, 50 lb</x:v>
      </x:c>
      <x:c r="E475" s="63" t="n">
        <x:v>1</x:v>
      </x:c>
      <x:c r="F475" s="63" t="n">
        <x:v>30</x:v>
      </x:c>
      <x:c r="G475" s="54" t="str">
        <x:v>RECONSTRUCTED</x:v>
      </x:c>
      <x:c r="H475" s="54" t="str">
        <x:v>QAR-0001 &gt; QAR-0012 &gt; ASM-0050 &gt; PKG-0012</x:v>
      </x:c>
      <x:c r="I475"/>
    </x:row>
    <x:row r="476">
      <x:c r="A476" s="63" t="n">
        <x:v>3</x:v>
      </x:c>
      <x:c r="B476" s="63" t="str">
        <x:v>ASM-0050</x:v>
      </x:c>
      <x:c r="C476" s="63" t="str">
        <x:v>MAT-0034</x:v>
      </x:c>
      <x:c r="D476" s="63" t="str">
        <x:v>Oatmeal, Pound</x:v>
      </x:c>
      <x:c r="E476" s="63" t="n">
        <x:v>50</x:v>
      </x:c>
      <x:c r="F476" s="63" t="n">
        <x:v>1500</x:v>
      </x:c>
      <x:c r="G476" s="54" t="str">
        <x:v>RECONSTRUCTED</x:v>
      </x:c>
      <x:c r="H476" s="54" t="str">
        <x:v>QAR-0001 &gt; QAR-0012 &gt; ASM-0050 &gt; MAT-0034</x:v>
      </x:c>
      <x:c r="I476"/>
    </x:row>
    <x:row r="477">
      <x:c r="A477" s="63" t="n">
        <x:v>3</x:v>
      </x:c>
      <x:c r="B477" s="63" t="str">
        <x:v>ASM-0050</x:v>
      </x:c>
      <x:c r="C477" s="63" t="str">
        <x:v>LBL-0009</x:v>
      </x:c>
      <x:c r="D477" s="63" t="str">
        <x:v>Provision Label - Food Lot</x:v>
      </x:c>
      <x:c r="E477" s="63" t="n">
        <x:v>1</x:v>
      </x:c>
      <x:c r="F477" s="63" t="n">
        <x:v>30</x:v>
      </x:c>
      <x:c r="G477" s="54" t="str">
        <x:v>FICTIONAL</x:v>
      </x:c>
      <x:c r="H477" s="54" t="str">
        <x:v>QAR-0001 &gt; QAR-0012 &gt; ASM-0050 &gt; LBL-0009</x:v>
      </x:c>
      <x:c r="I477"/>
    </x:row>
    <x:row r="478">
      <x:c r="A478" s="63" t="n">
        <x:v>2</x:v>
      </x:c>
      <x:c r="B478" s="63" t="str">
        <x:v>QAR-0012</x:v>
      </x:c>
      <x:c r="C478" s="63" t="str">
        <x:v>ASM-0051</x:v>
      </x:c>
      <x:c r="D478" s="63" t="str">
        <x:v>Hard Cheese Crate, 50 lb</x:v>
      </x:c>
      <x:c r="E478" s="63" t="n">
        <x:v>20</x:v>
      </x:c>
      <x:c r="F478" s="63" t="n">
        <x:v>20</x:v>
      </x:c>
      <x:c r="G478" s="54" t="str">
        <x:v>RECONSTRUCTED</x:v>
      </x:c>
      <x:c r="H478" s="54" t="str">
        <x:v>QAR-0001 &gt; QAR-0012 &gt; ASM-0051</x:v>
      </x:c>
      <x:c r="I478"/>
    </x:row>
    <x:row r="479">
      <x:c r="A479" s="63" t="n">
        <x:v>3</x:v>
      </x:c>
      <x:c r="B479" s="63" t="str">
        <x:v>ASM-0051</x:v>
      </x:c>
      <x:c r="C479" s="63" t="str">
        <x:v>PKG-0013</x:v>
      </x:c>
      <x:c r="D479" s="63" t="str">
        <x:v>Provision Crate, 50 lb</x:v>
      </x:c>
      <x:c r="E479" s="63" t="n">
        <x:v>1</x:v>
      </x:c>
      <x:c r="F479" s="63" t="n">
        <x:v>20</x:v>
      </x:c>
      <x:c r="G479" s="54" t="str">
        <x:v>RECONSTRUCTED</x:v>
      </x:c>
      <x:c r="H479" s="54" t="str">
        <x:v>QAR-0001 &gt; QAR-0012 &gt; ASM-0051 &gt; PKG-0013</x:v>
      </x:c>
      <x:c r="I479"/>
    </x:row>
    <x:row r="480">
      <x:c r="A480" s="63" t="n">
        <x:v>3</x:v>
      </x:c>
      <x:c r="B480" s="63" t="str">
        <x:v>ASM-0051</x:v>
      </x:c>
      <x:c r="C480" s="63" t="str">
        <x:v>MAT-0035</x:v>
      </x:c>
      <x:c r="D480" s="63" t="str">
        <x:v>Hard Cheese, Pound</x:v>
      </x:c>
      <x:c r="E480" s="63" t="n">
        <x:v>50</x:v>
      </x:c>
      <x:c r="F480" s="63" t="n">
        <x:v>1000</x:v>
      </x:c>
      <x:c r="G480" s="54" t="str">
        <x:v>RECONSTRUCTED</x:v>
      </x:c>
      <x:c r="H480" s="54" t="str">
        <x:v>QAR-0001 &gt; QAR-0012 &gt; ASM-0051 &gt; MAT-0035</x:v>
      </x:c>
      <x:c r="I480"/>
    </x:row>
    <x:row r="481">
      <x:c r="A481" s="63" t="n">
        <x:v>3</x:v>
      </x:c>
      <x:c r="B481" s="63" t="str">
        <x:v>ASM-0051</x:v>
      </x:c>
      <x:c r="C481" s="63" t="str">
        <x:v>LBL-0009</x:v>
      </x:c>
      <x:c r="D481" s="63" t="str">
        <x:v>Provision Label - Food Lot</x:v>
      </x:c>
      <x:c r="E481" s="63" t="n">
        <x:v>1</x:v>
      </x:c>
      <x:c r="F481" s="63" t="n">
        <x:v>20</x:v>
      </x:c>
      <x:c r="G481" s="54" t="str">
        <x:v>FICTIONAL</x:v>
      </x:c>
      <x:c r="H481" s="54" t="str">
        <x:v>QAR-0001 &gt; QAR-0012 &gt; ASM-0051 &gt; LBL-0009</x:v>
      </x:c>
      <x:c r="I481"/>
    </x:row>
    <x:row r="482">
      <x:c r="A482" s="63" t="n">
        <x:v>2</x:v>
      </x:c>
      <x:c r="B482" s="63" t="str">
        <x:v>QAR-0012</x:v>
      </x:c>
      <x:c r="C482" s="63" t="str">
        <x:v>ASM-0052</x:v>
      </x:c>
      <x:c r="D482" s="63" t="str">
        <x:v>Salt Butter Firkin, 25 lb</x:v>
      </x:c>
      <x:c r="E482" s="63" t="n">
        <x:v>20</x:v>
      </x:c>
      <x:c r="F482" s="63" t="n">
        <x:v>20</x:v>
      </x:c>
      <x:c r="G482" s="54" t="str">
        <x:v>RECONSTRUCTED</x:v>
      </x:c>
      <x:c r="H482" s="54" t="str">
        <x:v>QAR-0001 &gt; QAR-0012 &gt; ASM-0052</x:v>
      </x:c>
      <x:c r="I482"/>
    </x:row>
    <x:row r="483">
      <x:c r="A483" s="63" t="n">
        <x:v>3</x:v>
      </x:c>
      <x:c r="B483" s="63" t="str">
        <x:v>ASM-0052</x:v>
      </x:c>
      <x:c r="C483" s="63" t="str">
        <x:v>PKG-0014</x:v>
      </x:c>
      <x:c r="D483" s="63" t="str">
        <x:v>Butter Firkin, 25 lb Capacity</x:v>
      </x:c>
      <x:c r="E483" s="63" t="n">
        <x:v>1</x:v>
      </x:c>
      <x:c r="F483" s="63" t="n">
        <x:v>20</x:v>
      </x:c>
      <x:c r="G483" s="54" t="str">
        <x:v>RECONSTRUCTED</x:v>
      </x:c>
      <x:c r="H483" s="54" t="str">
        <x:v>QAR-0001 &gt; QAR-0012 &gt; ASM-0052 &gt; PKG-0014</x:v>
      </x:c>
      <x:c r="I483"/>
    </x:row>
    <x:row r="484">
      <x:c r="A484" s="63" t="n">
        <x:v>3</x:v>
      </x:c>
      <x:c r="B484" s="63" t="str">
        <x:v>ASM-0052</x:v>
      </x:c>
      <x:c r="C484" s="63" t="str">
        <x:v>MAT-0036</x:v>
      </x:c>
      <x:c r="D484" s="63" t="str">
        <x:v>Salt Butter, Pound</x:v>
      </x:c>
      <x:c r="E484" s="63" t="n">
        <x:v>25</x:v>
      </x:c>
      <x:c r="F484" s="63" t="n">
        <x:v>500</x:v>
      </x:c>
      <x:c r="G484" s="54" t="str">
        <x:v>RECONSTRUCTED</x:v>
      </x:c>
      <x:c r="H484" s="54" t="str">
        <x:v>QAR-0001 &gt; QAR-0012 &gt; ASM-0052 &gt; MAT-0036</x:v>
      </x:c>
      <x:c r="I484"/>
    </x:row>
    <x:row r="485">
      <x:c r="A485" s="63" t="n">
        <x:v>3</x:v>
      </x:c>
      <x:c r="B485" s="63" t="str">
        <x:v>ASM-0052</x:v>
      </x:c>
      <x:c r="C485" s="63" t="str">
        <x:v>LBL-0009</x:v>
      </x:c>
      <x:c r="D485" s="63" t="str">
        <x:v>Provision Label - Food Lot</x:v>
      </x:c>
      <x:c r="E485" s="63" t="n">
        <x:v>1</x:v>
      </x:c>
      <x:c r="F485" s="63" t="n">
        <x:v>20</x:v>
      </x:c>
      <x:c r="G485" s="54" t="str">
        <x:v>FICTIONAL</x:v>
      </x:c>
      <x:c r="H485" s="54" t="str">
        <x:v>QAR-0001 &gt; QAR-0012 &gt; ASM-0052 &gt; LBL-0009</x:v>
      </x:c>
      <x:c r="I485"/>
    </x:row>
    <x:row r="486">
      <x:c r="A486" s="63" t="n">
        <x:v>2</x:v>
      </x:c>
      <x:c r="B486" s="63" t="str">
        <x:v>QAR-0012</x:v>
      </x:c>
      <x:c r="C486" s="63" t="str">
        <x:v>ASM-0053</x:v>
      </x:c>
      <x:c r="D486" s="63" t="str">
        <x:v>Sea Salt Sack, 50 lb</x:v>
      </x:c>
      <x:c r="E486" s="63" t="n">
        <x:v>6</x:v>
      </x:c>
      <x:c r="F486" s="63" t="n">
        <x:v>6</x:v>
      </x:c>
      <x:c r="G486" s="54" t="str">
        <x:v>RECONSTRUCTED</x:v>
      </x:c>
      <x:c r="H486" s="54" t="str">
        <x:v>QAR-0001 &gt; QAR-0012 &gt; ASM-0053</x:v>
      </x:c>
      <x:c r="I486"/>
    </x:row>
    <x:row r="487">
      <x:c r="A487" s="63" t="n">
        <x:v>3</x:v>
      </x:c>
      <x:c r="B487" s="63" t="str">
        <x:v>ASM-0053</x:v>
      </x:c>
      <x:c r="C487" s="63" t="str">
        <x:v>PKG-0012</x:v>
      </x:c>
      <x:c r="D487" s="63" t="str">
        <x:v>Waxed Provision Sack, 50 lb</x:v>
      </x:c>
      <x:c r="E487" s="63" t="n">
        <x:v>1</x:v>
      </x:c>
      <x:c r="F487" s="63" t="n">
        <x:v>6</x:v>
      </x:c>
      <x:c r="G487" s="54" t="str">
        <x:v>RECONSTRUCTED</x:v>
      </x:c>
      <x:c r="H487" s="54" t="str">
        <x:v>QAR-0001 &gt; QAR-0012 &gt; ASM-0053 &gt; PKG-0012</x:v>
      </x:c>
      <x:c r="I487"/>
    </x:row>
    <x:row r="488">
      <x:c r="A488" s="63" t="n">
        <x:v>3</x:v>
      </x:c>
      <x:c r="B488" s="63" t="str">
        <x:v>ASM-0053</x:v>
      </x:c>
      <x:c r="C488" s="63" t="str">
        <x:v>MAT-0037</x:v>
      </x:c>
      <x:c r="D488" s="63" t="str">
        <x:v>Sea Salt, Pound</x:v>
      </x:c>
      <x:c r="E488" s="63" t="n">
        <x:v>50</x:v>
      </x:c>
      <x:c r="F488" s="63" t="n">
        <x:v>300</x:v>
      </x:c>
      <x:c r="G488" s="54" t="str">
        <x:v>RECONSTRUCTED</x:v>
      </x:c>
      <x:c r="H488" s="54" t="str">
        <x:v>QAR-0001 &gt; QAR-0012 &gt; ASM-0053 &gt; MAT-0037</x:v>
      </x:c>
      <x:c r="I488"/>
    </x:row>
    <x:row r="489">
      <x:c r="A489" s="63" t="n">
        <x:v>3</x:v>
      </x:c>
      <x:c r="B489" s="63" t="str">
        <x:v>ASM-0053</x:v>
      </x:c>
      <x:c r="C489" s="63" t="str">
        <x:v>LBL-0009</x:v>
      </x:c>
      <x:c r="D489" s="63" t="str">
        <x:v>Provision Label - Food Lot</x:v>
      </x:c>
      <x:c r="E489" s="63" t="n">
        <x:v>1</x:v>
      </x:c>
      <x:c r="F489" s="63" t="n">
        <x:v>6</x:v>
      </x:c>
      <x:c r="G489" s="54" t="str">
        <x:v>FICTIONAL</x:v>
      </x:c>
      <x:c r="H489" s="54" t="str">
        <x:v>QAR-0001 &gt; QAR-0012 &gt; ASM-0053 &gt; LBL-0009</x:v>
      </x:c>
      <x:c r="I489"/>
    </x:row>
    <x:row r="490">
      <x:c r="A490" s="63" t="n">
        <x:v>2</x:v>
      </x:c>
      <x:c r="B490" s="63" t="str">
        <x:v>QAR-0012</x:v>
      </x:c>
      <x:c r="C490" s="63" t="str">
        <x:v>ASM-0054</x:v>
      </x:c>
      <x:c r="D490" s="63" t="str">
        <x:v>Cooking Oil Cask, 25 gal</x:v>
      </x:c>
      <x:c r="E490" s="63" t="n">
        <x:v>6</x:v>
      </x:c>
      <x:c r="F490" s="63" t="n">
        <x:v>6</x:v>
      </x:c>
      <x:c r="G490" s="54" t="str">
        <x:v>RECONSTRUCTED</x:v>
      </x:c>
      <x:c r="H490" s="54" t="str">
        <x:v>QAR-0001 &gt; QAR-0012 &gt; ASM-0054</x:v>
      </x:c>
      <x:c r="I490"/>
    </x:row>
    <x:row r="491">
      <x:c r="A491" s="63" t="n">
        <x:v>3</x:v>
      </x:c>
      <x:c r="B491" s="63" t="str">
        <x:v>ASM-0054</x:v>
      </x:c>
      <x:c r="C491" s="63" t="str">
        <x:v>PKG-0011</x:v>
      </x:c>
      <x:c r="D491" s="63" t="str">
        <x:v>Oak Cask, 25 gal Capacity</x:v>
      </x:c>
      <x:c r="E491" s="63" t="n">
        <x:v>1</x:v>
      </x:c>
      <x:c r="F491" s="63" t="n">
        <x:v>6</x:v>
      </x:c>
      <x:c r="G491" s="54" t="str">
        <x:v>RECOVERED</x:v>
      </x:c>
      <x:c r="H491" s="54" t="str">
        <x:v>QAR-0001 &gt; QAR-0012 &gt; ASM-0054 &gt; PKG-0011</x:v>
      </x:c>
      <x:c r="I491"/>
    </x:row>
    <x:row r="492">
      <x:c r="A492" s="63" t="n">
        <x:v>3</x:v>
      </x:c>
      <x:c r="B492" s="63" t="str">
        <x:v>ASM-0054</x:v>
      </x:c>
      <x:c r="C492" s="63" t="str">
        <x:v>MAT-0038</x:v>
      </x:c>
      <x:c r="D492" s="63" t="str">
        <x:v>Cooking Oil, Gallon</x:v>
      </x:c>
      <x:c r="E492" s="63" t="n">
        <x:v>25</x:v>
      </x:c>
      <x:c r="F492" s="63" t="n">
        <x:v>150</x:v>
      </x:c>
      <x:c r="G492" s="54" t="str">
        <x:v>RECONSTRUCTED</x:v>
      </x:c>
      <x:c r="H492" s="54" t="str">
        <x:v>QAR-0001 &gt; QAR-0012 &gt; ASM-0054 &gt; MAT-0038</x:v>
      </x:c>
      <x:c r="I492"/>
    </x:row>
    <x:row r="493">
      <x:c r="A493" s="63" t="n">
        <x:v>3</x:v>
      </x:c>
      <x:c r="B493" s="63" t="str">
        <x:v>ASM-0054</x:v>
      </x:c>
      <x:c r="C493" s="63" t="str">
        <x:v>LBL-0009</x:v>
      </x:c>
      <x:c r="D493" s="63" t="str">
        <x:v>Provision Label - Food Lot</x:v>
      </x:c>
      <x:c r="E493" s="63" t="n">
        <x:v>1</x:v>
      </x:c>
      <x:c r="F493" s="63" t="n">
        <x:v>6</x:v>
      </x:c>
      <x:c r="G493" s="54" t="str">
        <x:v>FICTIONAL</x:v>
      </x:c>
      <x:c r="H493" s="54" t="str">
        <x:v>QAR-0001 &gt; QAR-0012 &gt; ASM-0054 &gt; LBL-0009</x:v>
      </x:c>
      <x:c r="I493"/>
    </x:row>
    <x:row r="494">
      <x:c r="A494" s="63" t="n">
        <x:v>1</x:v>
      </x:c>
      <x:c r="B494" s="63" t="str">
        <x:v>QAR-0001</x:v>
      </x:c>
      <x:c r="C494" s="63" t="str">
        <x:v>QAR-0013</x:v>
      </x:c>
      <x:c r="D494" s="63" t="str">
        <x:v>Crew Issue and Berthing Outfit for 300</x:v>
      </x:c>
      <x:c r="E494" s="63" t="n">
        <x:v>1</x:v>
      </x:c>
      <x:c r="F494" s="63" t="n">
        <x:v>1</x:v>
      </x:c>
      <x:c r="G494" s="54" t="str">
        <x:v>RECONSTRUCTED</x:v>
      </x:c>
      <x:c r="H494" s="54" t="str">
        <x:v>QAR-0001 &gt; QAR-0013</x:v>
      </x:c>
      <x:c r="I494"/>
    </x:row>
    <x:row r="495">
      <x:c r="A495" s="63" t="n">
        <x:v>2</x:v>
      </x:c>
      <x:c r="B495" s="63" t="str">
        <x:v>QAR-0013</x:v>
      </x:c>
      <x:c r="C495" s="63" t="str">
        <x:v>KIT-0042</x:v>
      </x:c>
      <x:c r="D495" s="63" t="str">
        <x:v>Individual Crew Issue Pack</x:v>
      </x:c>
      <x:c r="E495" s="63" t="n">
        <x:v>300</x:v>
      </x:c>
      <x:c r="F495" s="63" t="n">
        <x:v>300</x:v>
      </x:c>
      <x:c r="G495" s="54" t="str">
        <x:v>RECONSTRUCTED</x:v>
      </x:c>
      <x:c r="H495" s="54" t="str">
        <x:v>QAR-0001 &gt; QAR-0013 &gt; KIT-0042</x:v>
      </x:c>
      <x:c r="I495"/>
    </x:row>
    <x:row r="496">
      <x:c r="A496" s="63" t="n">
        <x:v>3</x:v>
      </x:c>
      <x:c r="B496" s="63" t="str">
        <x:v>KIT-0042</x:v>
      </x:c>
      <x:c r="C496" s="63" t="str">
        <x:v>ASM-0055</x:v>
      </x:c>
      <x:c r="D496" s="63" t="str">
        <x:v>Canvas Sailor's Hammock</x:v>
      </x:c>
      <x:c r="E496" s="63" t="n">
        <x:v>1</x:v>
      </x:c>
      <x:c r="F496" s="63" t="n">
        <x:v>300</x:v>
      </x:c>
      <x:c r="G496" s="54" t="str">
        <x:v>RECONSTRUCTED</x:v>
      </x:c>
      <x:c r="H496" s="54" t="str">
        <x:v>QAR-0001 &gt; QAR-0013 &gt; KIT-0042 &gt; ASM-0055</x:v>
      </x:c>
      <x:c r="I496"/>
    </x:row>
    <x:row r="497">
      <x:c r="A497" s="63" t="n">
        <x:v>3</x:v>
      </x:c>
      <x:c r="B497" s="63" t="str">
        <x:v>KIT-0042</x:v>
      </x:c>
      <x:c r="C497" s="63" t="str">
        <x:v>PRT-0151</x:v>
      </x:c>
      <x:c r="D497" s="63" t="str">
        <x:v>Wool Sea Blanket</x:v>
      </x:c>
      <x:c r="E497" s="63" t="n">
        <x:v>1</x:v>
      </x:c>
      <x:c r="F497" s="63" t="n">
        <x:v>300</x:v>
      </x:c>
      <x:c r="G497" s="54" t="str">
        <x:v>RECONSTRUCTED</x:v>
      </x:c>
      <x:c r="H497" s="54" t="str">
        <x:v>QAR-0001 &gt; QAR-0013 &gt; KIT-0042 &gt; PRT-0151</x:v>
      </x:c>
      <x:c r="I497"/>
    </x:row>
    <x:row r="498">
      <x:c r="A498" s="63" t="n">
        <x:v>3</x:v>
      </x:c>
      <x:c r="B498" s="63" t="str">
        <x:v>KIT-0042</x:v>
      </x:c>
      <x:c r="C498" s="63" t="str">
        <x:v>PKG-0015</x:v>
      </x:c>
      <x:c r="D498" s="63" t="str">
        <x:v>Canvas Sea Bag</x:v>
      </x:c>
      <x:c r="E498" s="63" t="n">
        <x:v>1</x:v>
      </x:c>
      <x:c r="F498" s="63" t="n">
        <x:v>300</x:v>
      </x:c>
      <x:c r="G498" s="54" t="str">
        <x:v>RECONSTRUCTED</x:v>
      </x:c>
      <x:c r="H498" s="54" t="str">
        <x:v>QAR-0001 &gt; QAR-0013 &gt; KIT-0042 &gt; PKG-0015</x:v>
      </x:c>
      <x:c r="I498"/>
    </x:row>
    <x:row r="499">
      <x:c r="A499" s="63" t="n">
        <x:v>3</x:v>
      </x:c>
      <x:c r="B499" s="63" t="str">
        <x:v>KIT-0042</x:v>
      </x:c>
      <x:c r="C499" s="63" t="str">
        <x:v>PRT-0152</x:v>
      </x:c>
      <x:c r="D499" s="63" t="str">
        <x:v>Pewter Drinking Cup</x:v>
      </x:c>
      <x:c r="E499" s="63" t="n">
        <x:v>1</x:v>
      </x:c>
      <x:c r="F499" s="63" t="n">
        <x:v>300</x:v>
      </x:c>
      <x:c r="G499" s="54" t="str">
        <x:v>RECONSTRUCTED</x:v>
      </x:c>
      <x:c r="H499" s="54" t="str">
        <x:v>QAR-0001 &gt; QAR-0013 &gt; KIT-0042 &gt; PRT-0152</x:v>
      </x:c>
      <x:c r="I499"/>
    </x:row>
    <x:row r="500">
      <x:c r="A500" s="63" t="n">
        <x:v>3</x:v>
      </x:c>
      <x:c r="B500" s="63" t="str">
        <x:v>KIT-0042</x:v>
      </x:c>
      <x:c r="C500" s="63" t="str">
        <x:v>PRT-0144</x:v>
      </x:c>
      <x:c r="D500" s="63" t="str">
        <x:v>Pewter Spoon</x:v>
      </x:c>
      <x:c r="E500" s="63" t="n">
        <x:v>1</x:v>
      </x:c>
      <x:c r="F500" s="63" t="n">
        <x:v>300</x:v>
      </x:c>
      <x:c r="G500" s="54" t="str">
        <x:v>RECOVERED</x:v>
      </x:c>
      <x:c r="H500" s="54" t="str">
        <x:v>QAR-0001 &gt; QAR-0013 &gt; KIT-0042 &gt; PRT-0144</x:v>
      </x:c>
      <x:c r="I500"/>
    </x:row>
    <x:row r="501">
      <x:c r="A501" s="63" t="n">
        <x:v>3</x:v>
      </x:c>
      <x:c r="B501" s="63" t="str">
        <x:v>KIT-0042</x:v>
      </x:c>
      <x:c r="C501" s="63" t="str">
        <x:v>PRT-0153</x:v>
      </x:c>
      <x:c r="D501" s="63" t="str">
        <x:v>Sailor's Utility Knife</x:v>
      </x:c>
      <x:c r="E501" s="63" t="n">
        <x:v>1</x:v>
      </x:c>
      <x:c r="F501" s="63" t="n">
        <x:v>300</x:v>
      </x:c>
      <x:c r="G501" s="54" t="str">
        <x:v>RECONSTRUCTED</x:v>
      </x:c>
      <x:c r="H501" s="54" t="str">
        <x:v>QAR-0001 &gt; QAR-0013 &gt; KIT-0042 &gt; PRT-0153</x:v>
      </x:c>
      <x:c r="I501"/>
    </x:row>
    <x:row r="502">
      <x:c r="A502" s="63" t="n">
        <x:v>3</x:v>
      </x:c>
      <x:c r="B502" s="63" t="str">
        <x:v>KIT-0042</x:v>
      </x:c>
      <x:c r="C502" s="63" t="str">
        <x:v>KIT-0043</x:v>
      </x:c>
      <x:c r="D502" s="63" t="str">
        <x:v>Basic Clothing Bundle</x:v>
      </x:c>
      <x:c r="E502" s="63" t="n">
        <x:v>1</x:v>
      </x:c>
      <x:c r="F502" s="63" t="n">
        <x:v>300</x:v>
      </x:c>
      <x:c r="G502" s="54" t="str">
        <x:v>RECONSTRUCTED</x:v>
      </x:c>
      <x:c r="H502" s="54" t="str">
        <x:v>QAR-0001 &gt; QAR-0013 &gt; KIT-0042 &gt; KIT-0043</x:v>
      </x:c>
      <x:c r="I502"/>
    </x:row>
    <x:row r="503">
      <x:c r="A503" s="63" t="n">
        <x:v>3</x:v>
      </x:c>
      <x:c r="B503" s="63" t="str">
        <x:v>KIT-0042</x:v>
      </x:c>
      <x:c r="C503" s="63" t="str">
        <x:v>KIT-0044</x:v>
      </x:c>
      <x:c r="D503" s="63" t="str">
        <x:v>Hammock Clew and Lashing Set</x:v>
      </x:c>
      <x:c r="E503" s="63" t="n">
        <x:v>1</x:v>
      </x:c>
      <x:c r="F503" s="63" t="n">
        <x:v>300</x:v>
      </x:c>
      <x:c r="G503" s="54" t="str">
        <x:v>RECONSTRUCTED</x:v>
      </x:c>
      <x:c r="H503" s="54" t="str">
        <x:v>QAR-0001 &gt; QAR-0013 &gt; KIT-0042 &gt; KIT-0044</x:v>
      </x:c>
      <x:c r="I503"/>
    </x:row>
    <x:row r="504">
      <x:c r="A504" s="63" t="n">
        <x:v>3</x:v>
      </x:c>
      <x:c r="B504" s="63" t="str">
        <x:v>KIT-0042</x:v>
      </x:c>
      <x:c r="C504" s="63" t="str">
        <x:v>LBL-0011</x:v>
      </x:c>
      <x:c r="D504" s="63" t="str">
        <x:v>Identity Label - Crew Issue Pack</x:v>
      </x:c>
      <x:c r="E504" s="63" t="n">
        <x:v>1</x:v>
      </x:c>
      <x:c r="F504" s="63" t="n">
        <x:v>300</x:v>
      </x:c>
      <x:c r="G504" s="54" t="str">
        <x:v>FICTIONAL</x:v>
      </x:c>
      <x:c r="H504" s="54" t="str">
        <x:v>QAR-0001 &gt; QAR-0013 &gt; KIT-0042 &gt; LBL-0011</x:v>
      </x:c>
      <x:c r="I504"/>
    </x:row>
    <x:row r="505">
      <x:c r="A505" s="63" t="n">
        <x:v>2</x:v>
      </x:c>
      <x:c r="B505" s="63" t="str">
        <x:v>QAR-0013</x:v>
      </x:c>
      <x:c r="C505" s="63" t="str">
        <x:v>OFT-0023</x:v>
      </x:c>
      <x:c r="D505" s="63" t="str">
        <x:v>Spare Berthing Stores</x:v>
      </x:c>
      <x:c r="E505" s="63" t="n">
        <x:v>1</x:v>
      </x:c>
      <x:c r="F505" s="63" t="n">
        <x:v>1</x:v>
      </x:c>
      <x:c r="G505" s="54" t="str">
        <x:v>RECONSTRUCTED</x:v>
      </x:c>
      <x:c r="H505" s="54" t="str">
        <x:v>QAR-0001 &gt; QAR-0013 &gt; OFT-0023</x:v>
      </x:c>
      <x:c r="I505"/>
    </x:row>
    <x:row r="506">
      <x:c r="A506" s="63" t="n">
        <x:v>3</x:v>
      </x:c>
      <x:c r="B506" s="63" t="str">
        <x:v>OFT-0023</x:v>
      </x:c>
      <x:c r="C506" s="63" t="str">
        <x:v>ASM-0055</x:v>
      </x:c>
      <x:c r="D506" s="63" t="str">
        <x:v>Canvas Sailor's Hammock</x:v>
      </x:c>
      <x:c r="E506" s="63" t="n">
        <x:v>30</x:v>
      </x:c>
      <x:c r="F506" s="63" t="n">
        <x:v>30</x:v>
      </x:c>
      <x:c r="G506" s="54" t="str">
        <x:v>RECONSTRUCTED</x:v>
      </x:c>
      <x:c r="H506" s="54" t="str">
        <x:v>QAR-0001 &gt; QAR-0013 &gt; OFT-0023 &gt; ASM-0055</x:v>
      </x:c>
      <x:c r="I506"/>
    </x:row>
    <x:row r="507">
      <x:c r="A507" s="63" t="n">
        <x:v>3</x:v>
      </x:c>
      <x:c r="B507" s="63" t="str">
        <x:v>OFT-0023</x:v>
      </x:c>
      <x:c r="C507" s="63" t="str">
        <x:v>PRT-0151</x:v>
      </x:c>
      <x:c r="D507" s="63" t="str">
        <x:v>Wool Sea Blanket</x:v>
      </x:c>
      <x:c r="E507" s="63" t="n">
        <x:v>30</x:v>
      </x:c>
      <x:c r="F507" s="63" t="n">
        <x:v>30</x:v>
      </x:c>
      <x:c r="G507" s="54" t="str">
        <x:v>RECONSTRUCTED</x:v>
      </x:c>
      <x:c r="H507" s="54" t="str">
        <x:v>QAR-0001 &gt; QAR-0013 &gt; OFT-0023 &gt; PRT-0151</x:v>
      </x:c>
      <x:c r="I507"/>
    </x:row>
    <x:row r="508">
      <x:c r="A508" s="63" t="n">
        <x:v>3</x:v>
      </x:c>
      <x:c r="B508" s="63" t="str">
        <x:v>OFT-0023</x:v>
      </x:c>
      <x:c r="C508" s="63" t="str">
        <x:v>KIT-0044</x:v>
      </x:c>
      <x:c r="D508" s="63" t="str">
        <x:v>Hammock Clew and Lashing Set</x:v>
      </x:c>
      <x:c r="E508" s="63" t="n">
        <x:v>30</x:v>
      </x:c>
      <x:c r="F508" s="63" t="n">
        <x:v>30</x:v>
      </x:c>
      <x:c r="G508" s="54" t="str">
        <x:v>RECONSTRUCTED</x:v>
      </x:c>
      <x:c r="H508" s="54" t="str">
        <x:v>QAR-0001 &gt; QAR-0013 &gt; OFT-0023 &gt; KIT-0044</x:v>
      </x:c>
      <x:c r="I508"/>
    </x:row>
    <x:row r="509">
      <x:c r="A509" s="63" t="n">
        <x:v>1</x:v>
      </x:c>
      <x:c r="B509" s="63" t="str">
        <x:v>QAR-0001</x:v>
      </x:c>
      <x:c r="C509" s="63" t="str">
        <x:v>QAR-0014</x:v>
      </x:c>
      <x:c r="D509" s="63" t="str">
        <x:v>Captain and Quartermaster Cabin Outfit</x:v>
      </x:c>
      <x:c r="E509" s="63" t="n">
        <x:v>1</x:v>
      </x:c>
      <x:c r="F509" s="63" t="n">
        <x:v>1</x:v>
      </x:c>
      <x:c r="G509" s="54" t="str">
        <x:v>RECONSTRUCTED</x:v>
      </x:c>
      <x:c r="H509" s="54" t="str">
        <x:v>QAR-0001 &gt; QAR-0014</x:v>
      </x:c>
      <x:c r="I509"/>
    </x:row>
    <x:row r="510">
      <x:c r="A510" s="63" t="n">
        <x:v>2</x:v>
      </x:c>
      <x:c r="B510" s="63" t="str">
        <x:v>QAR-0014</x:v>
      </x:c>
      <x:c r="C510" s="63" t="str">
        <x:v>QAR-0054</x:v>
      </x:c>
      <x:c r="D510" s="63" t="str">
        <x:v>Captain's Cabin Furniture and Service</x:v>
      </x:c>
      <x:c r="E510" s="63" t="n">
        <x:v>1</x:v>
      </x:c>
      <x:c r="F510" s="63" t="n">
        <x:v>1</x:v>
      </x:c>
      <x:c r="G510" s="54" t="str">
        <x:v>RECONSTRUCTED</x:v>
      </x:c>
      <x:c r="H510" s="54" t="str">
        <x:v>QAR-0001 &gt; QAR-0014 &gt; QAR-0054</x:v>
      </x:c>
      <x:c r="I510"/>
    </x:row>
    <x:row r="511">
      <x:c r="A511" s="63" t="n">
        <x:v>3</x:v>
      </x:c>
      <x:c r="B511" s="63" t="str">
        <x:v>QAR-0054</x:v>
      </x:c>
      <x:c r="C511" s="63" t="str">
        <x:v>ASM-0057</x:v>
      </x:c>
      <x:c r="D511" s="63" t="str">
        <x:v>Folding Cabin Table</x:v>
      </x:c>
      <x:c r="E511" s="63" t="n">
        <x:v>1</x:v>
      </x:c>
      <x:c r="F511" s="63" t="n">
        <x:v>1</x:v>
      </x:c>
      <x:c r="G511" s="54" t="str">
        <x:v>RECONSTRUCTED</x:v>
      </x:c>
      <x:c r="H511" s="54" t="str">
        <x:v>QAR-0001 &gt; QAR-0014 &gt; QAR-0054 &gt; ASM-0057</x:v>
      </x:c>
      <x:c r="I511"/>
    </x:row>
    <x:row r="512">
      <x:c r="A512" s="63" t="n">
        <x:v>3</x:v>
      </x:c>
      <x:c r="B512" s="63" t="str">
        <x:v>QAR-0054</x:v>
      </x:c>
      <x:c r="C512" s="63" t="str">
        <x:v>ASM-0058</x:v>
      </x:c>
      <x:c r="D512" s="63" t="str">
        <x:v>Cabin Chair</x:v>
      </x:c>
      <x:c r="E512" s="63" t="n">
        <x:v>4</x:v>
      </x:c>
      <x:c r="F512" s="63" t="n">
        <x:v>4</x:v>
      </x:c>
      <x:c r="G512" s="54" t="str">
        <x:v>RECONSTRUCTED</x:v>
      </x:c>
      <x:c r="H512" s="54" t="str">
        <x:v>QAR-0001 &gt; QAR-0014 &gt; QAR-0054 &gt; ASM-0058</x:v>
      </x:c>
      <x:c r="I512"/>
    </x:row>
    <x:row r="513">
      <x:c r="A513" s="63" t="n">
        <x:v>3</x:v>
      </x:c>
      <x:c r="B513" s="63" t="str">
        <x:v>QAR-0054</x:v>
      </x:c>
      <x:c r="C513" s="63" t="str">
        <x:v>ASM-0059</x:v>
      </x:c>
      <x:c r="D513" s="63" t="str">
        <x:v>Captain's Berth and Bedding</x:v>
      </x:c>
      <x:c r="E513" s="63" t="n">
        <x:v>1</x:v>
      </x:c>
      <x:c r="F513" s="63" t="n">
        <x:v>1</x:v>
      </x:c>
      <x:c r="G513" s="54" t="str">
        <x:v>RECONSTRUCTED</x:v>
      </x:c>
      <x:c r="H513" s="54" t="str">
        <x:v>QAR-0001 &gt; QAR-0014 &gt; QAR-0054 &gt; ASM-0059</x:v>
      </x:c>
      <x:c r="I513"/>
    </x:row>
    <x:row r="514">
      <x:c r="A514" s="63" t="n">
        <x:v>3</x:v>
      </x:c>
      <x:c r="B514" s="63" t="str">
        <x:v>QAR-0054</x:v>
      </x:c>
      <x:c r="C514" s="63" t="str">
        <x:v>KIT-0041</x:v>
      </x:c>
      <x:c r="D514" s="63" t="str">
        <x:v>Six-Person Officer Mess Kit</x:v>
      </x:c>
      <x:c r="E514" s="63" t="n">
        <x:v>1</x:v>
      </x:c>
      <x:c r="F514" s="63" t="n">
        <x:v>1</x:v>
      </x:c>
      <x:c r="G514" s="54" t="str">
        <x:v>RECONSTRUCTED</x:v>
      </x:c>
      <x:c r="H514" s="54" t="str">
        <x:v>QAR-0001 &gt; QAR-0014 &gt; QAR-0054 &gt; KIT-0041</x:v>
      </x:c>
      <x:c r="I514"/>
    </x:row>
    <x:row r="515">
      <x:c r="A515" s="63" t="n">
        <x:v>4</x:v>
      </x:c>
      <x:c r="B515" s="63" t="str">
        <x:v>KIT-0041</x:v>
      </x:c>
      <x:c r="C515" s="63" t="str">
        <x:v>PRT-0142</x:v>
      </x:c>
      <x:c r="D515" s="63" t="str">
        <x:v>Pewter Plate</x:v>
      </x:c>
      <x:c r="E515" s="63" t="n">
        <x:v>6</x:v>
      </x:c>
      <x:c r="F515" s="63" t="n">
        <x:v>6</x:v>
      </x:c>
      <x:c r="G515" s="54" t="str">
        <x:v>RECOVERED</x:v>
      </x:c>
      <x:c r="H515" s="54" t="str">
        <x:v>QAR-0001 &gt; QAR-0014 &gt; QAR-0054 &gt; KIT-0041 &gt; PRT-0142</x:v>
      </x:c>
      <x:c r="I515"/>
    </x:row>
    <x:row r="516">
      <x:c r="A516" s="63" t="n">
        <x:v>4</x:v>
      </x:c>
      <x:c r="B516" s="63" t="str">
        <x:v>KIT-0041</x:v>
      </x:c>
      <x:c r="C516" s="63" t="str">
        <x:v>PRT-0143</x:v>
      </x:c>
      <x:c r="D516" s="63" t="str">
        <x:v>Pewter Bowl</x:v>
      </x:c>
      <x:c r="E516" s="63" t="n">
        <x:v>6</x:v>
      </x:c>
      <x:c r="F516" s="63" t="n">
        <x:v>6</x:v>
      </x:c>
      <x:c r="G516" s="54" t="str">
        <x:v>RECOVERED</x:v>
      </x:c>
      <x:c r="H516" s="54" t="str">
        <x:v>QAR-0001 &gt; QAR-0014 &gt; QAR-0054 &gt; KIT-0041 &gt; PRT-0143</x:v>
      </x:c>
      <x:c r="I516"/>
    </x:row>
    <x:row r="517">
      <x:c r="A517" s="63" t="n">
        <x:v>4</x:v>
      </x:c>
      <x:c r="B517" s="63" t="str">
        <x:v>KIT-0041</x:v>
      </x:c>
      <x:c r="C517" s="63" t="str">
        <x:v>PRT-0144</x:v>
      </x:c>
      <x:c r="D517" s="63" t="str">
        <x:v>Pewter Spoon</x:v>
      </x:c>
      <x:c r="E517" s="63" t="n">
        <x:v>6</x:v>
      </x:c>
      <x:c r="F517" s="63" t="n">
        <x:v>6</x:v>
      </x:c>
      <x:c r="G517" s="54" t="str">
        <x:v>RECOVERED</x:v>
      </x:c>
      <x:c r="H517" s="54" t="str">
        <x:v>QAR-0001 &gt; QAR-0014 &gt; QAR-0054 &gt; KIT-0041 &gt; PRT-0144</x:v>
      </x:c>
      <x:c r="I517"/>
    </x:row>
    <x:row r="518">
      <x:c r="A518" s="63" t="n">
        <x:v>4</x:v>
      </x:c>
      <x:c r="B518" s="63" t="str">
        <x:v>KIT-0041</x:v>
      </x:c>
      <x:c r="C518" s="63" t="str">
        <x:v>PRT-0147</x:v>
      </x:c>
      <x:c r="D518" s="63" t="str">
        <x:v>Large Pewter Charger</x:v>
      </x:c>
      <x:c r="E518" s="63" t="n">
        <x:v>2</x:v>
      </x:c>
      <x:c r="F518" s="63" t="n">
        <x:v>2</x:v>
      </x:c>
      <x:c r="G518" s="54" t="str">
        <x:v>RECOVERED</x:v>
      </x:c>
      <x:c r="H518" s="54" t="str">
        <x:v>QAR-0001 &gt; QAR-0014 &gt; QAR-0054 &gt; KIT-0041 &gt; PRT-0147</x:v>
      </x:c>
      <x:c r="I518"/>
    </x:row>
    <x:row r="519">
      <x:c r="A519" s="63" t="n">
        <x:v>4</x:v>
      </x:c>
      <x:c r="B519" s="63" t="str">
        <x:v>KIT-0041</x:v>
      </x:c>
      <x:c r="C519" s="63" t="str">
        <x:v>PRT-0148</x:v>
      </x:c>
      <x:c r="D519" s="63" t="str">
        <x:v>Officer's Wine Glass</x:v>
      </x:c>
      <x:c r="E519" s="63" t="n">
        <x:v>6</x:v>
      </x:c>
      <x:c r="F519" s="63" t="n">
        <x:v>6</x:v>
      </x:c>
      <x:c r="G519" s="54" t="str">
        <x:v>RECOVERED</x:v>
      </x:c>
      <x:c r="H519" s="54" t="str">
        <x:v>QAR-0001 &gt; QAR-0014 &gt; QAR-0054 &gt; KIT-0041 &gt; PRT-0148</x:v>
      </x:c>
      <x:c r="I519"/>
    </x:row>
    <x:row r="520">
      <x:c r="A520" s="63" t="n">
        <x:v>4</x:v>
      </x:c>
      <x:c r="B520" s="63" t="str">
        <x:v>KIT-0041</x:v>
      </x:c>
      <x:c r="C520" s="63" t="str">
        <x:v>PRT-0146</x:v>
      </x:c>
      <x:c r="D520" s="63" t="str">
        <x:v>Common Mess Knife</x:v>
      </x:c>
      <x:c r="E520" s="63" t="n">
        <x:v>6</x:v>
      </x:c>
      <x:c r="F520" s="63" t="n">
        <x:v>6</x:v>
      </x:c>
      <x:c r="G520" s="54" t="str">
        <x:v>RECONSTRUCTED</x:v>
      </x:c>
      <x:c r="H520" s="54" t="str">
        <x:v>QAR-0001 &gt; QAR-0014 &gt; QAR-0054 &gt; KIT-0041 &gt; PRT-0146</x:v>
      </x:c>
      <x:c r="I520"/>
    </x:row>
    <x:row r="521">
      <x:c r="A521" s="63" t="n">
        <x:v>3</x:v>
      </x:c>
      <x:c r="B521" s="63" t="str">
        <x:v>QAR-0054</x:v>
      </x:c>
      <x:c r="C521" s="63" t="str">
        <x:v>ASM-0035</x:v>
      </x:c>
      <x:c r="D521" s="63" t="str">
        <x:v>Enclosed Deck Lantern</x:v>
      </x:c>
      <x:c r="E521" s="63" t="n">
        <x:v>2</x:v>
      </x:c>
      <x:c r="F521" s="63" t="n">
        <x:v>2</x:v>
      </x:c>
      <x:c r="G521" s="54" t="str">
        <x:v>RECONSTRUCTED</x:v>
      </x:c>
      <x:c r="H521" s="54" t="str">
        <x:v>QAR-0001 &gt; QAR-0014 &gt; QAR-0054 &gt; ASM-0035</x:v>
      </x:c>
      <x:c r="I521"/>
    </x:row>
    <x:row r="522">
      <x:c r="A522" s="63" t="n">
        <x:v>2</x:v>
      </x:c>
      <x:c r="B522" s="63" t="str">
        <x:v>QAR-0014</x:v>
      </x:c>
      <x:c r="C522" s="63" t="str">
        <x:v>KIT-0045</x:v>
      </x:c>
      <x:c r="D522" s="63" t="str">
        <x:v>Ship's Record and Writing Chest</x:v>
      </x:c>
      <x:c r="E522" s="63" t="n">
        <x:v>1</x:v>
      </x:c>
      <x:c r="F522" s="63" t="n">
        <x:v>1</x:v>
      </x:c>
      <x:c r="G522" s="54" t="str">
        <x:v>RECONSTRUCTED</x:v>
      </x:c>
      <x:c r="H522" s="54" t="str">
        <x:v>QAR-0001 &gt; QAR-0014 &gt; KIT-0045</x:v>
      </x:c>
      <x:c r="I522"/>
    </x:row>
    <x:row r="523">
      <x:c r="A523" s="63" t="n">
        <x:v>3</x:v>
      </x:c>
      <x:c r="B523" s="63" t="str">
        <x:v>KIT-0045</x:v>
      </x:c>
      <x:c r="C523" s="63" t="str">
        <x:v>ASM-0060</x:v>
      </x:c>
      <x:c r="D523" s="63" t="str">
        <x:v>Portable Writing Desk</x:v>
      </x:c>
      <x:c r="E523" s="63" t="n">
        <x:v>1</x:v>
      </x:c>
      <x:c r="F523" s="63" t="n">
        <x:v>1</x:v>
      </x:c>
      <x:c r="G523" s="54" t="str">
        <x:v>RECONSTRUCTED</x:v>
      </x:c>
      <x:c r="H523" s="54" t="str">
        <x:v>QAR-0001 &gt; QAR-0014 &gt; KIT-0045 &gt; ASM-0060</x:v>
      </x:c>
      <x:c r="I523"/>
    </x:row>
    <x:row r="524">
      <x:c r="A524" s="63" t="n">
        <x:v>3</x:v>
      </x:c>
      <x:c r="B524" s="63" t="str">
        <x:v>KIT-0045</x:v>
      </x:c>
      <x:c r="C524" s="63" t="str">
        <x:v>PKG-0016</x:v>
      </x:c>
      <x:c r="D524" s="63" t="str">
        <x:v>Ink Horn</x:v>
      </x:c>
      <x:c r="E524" s="63" t="n">
        <x:v>4</x:v>
      </x:c>
      <x:c r="F524" s="63" t="n">
        <x:v>4</x:v>
      </x:c>
      <x:c r="G524" s="54" t="str">
        <x:v>RECONSTRUCTED</x:v>
      </x:c>
      <x:c r="H524" s="54" t="str">
        <x:v>QAR-0001 &gt; QAR-0014 &gt; KIT-0045 &gt; PKG-0016</x:v>
      </x:c>
      <x:c r="I524"/>
    </x:row>
    <x:row r="525">
      <x:c r="A525" s="63" t="n">
        <x:v>3</x:v>
      </x:c>
      <x:c r="B525" s="63" t="str">
        <x:v>KIT-0045</x:v>
      </x:c>
      <x:c r="C525" s="63" t="str">
        <x:v>MAT-0039</x:v>
      </x:c>
      <x:c r="D525" s="63" t="str">
        <x:v>Writing Quill</x:v>
      </x:c>
      <x:c r="E525" s="63" t="n">
        <x:v>24</x:v>
      </x:c>
      <x:c r="F525" s="63" t="n">
        <x:v>24</x:v>
      </x:c>
      <x:c r="G525" s="54" t="str">
        <x:v>RECONSTRUCTED</x:v>
      </x:c>
      <x:c r="H525" s="54" t="str">
        <x:v>QAR-0001 &gt; QAR-0014 &gt; KIT-0045 &gt; MAT-0039</x:v>
      </x:c>
      <x:c r="I525"/>
    </x:row>
    <x:row r="526">
      <x:c r="A526" s="63" t="n">
        <x:v>3</x:v>
      </x:c>
      <x:c r="B526" s="63" t="str">
        <x:v>KIT-0045</x:v>
      </x:c>
      <x:c r="C526" s="63" t="str">
        <x:v>DOC-0002</x:v>
      </x:c>
      <x:c r="D526" s="63" t="str">
        <x:v>Quartermaster's Stores Ledger</x:v>
      </x:c>
      <x:c r="E526" s="63" t="n">
        <x:v>4</x:v>
      </x:c>
      <x:c r="F526" s="63" t="n">
        <x:v>4</x:v>
      </x:c>
      <x:c r="G526" s="54" t="str">
        <x:v>FICTIONAL</x:v>
      </x:c>
      <x:c r="H526" s="54" t="str">
        <x:v>QAR-0001 &gt; QAR-0014 &gt; KIT-0045 &gt; DOC-0002</x:v>
      </x:c>
      <x:c r="I526"/>
    </x:row>
    <x:row r="527">
      <x:c r="A527" s="63" t="n">
        <x:v>3</x:v>
      </x:c>
      <x:c r="B527" s="63" t="str">
        <x:v>KIT-0045</x:v>
      </x:c>
      <x:c r="C527" s="63" t="str">
        <x:v>DOC-0003</x:v>
      </x:c>
      <x:c r="D527" s="63" t="str">
        <x:v>Crew Muster and Watch Book</x:v>
      </x:c>
      <x:c r="E527" s="63" t="n">
        <x:v>2</x:v>
      </x:c>
      <x:c r="F527" s="63" t="n">
        <x:v>2</x:v>
      </x:c>
      <x:c r="G527" s="54" t="str">
        <x:v>RECONSTRUCTED</x:v>
      </x:c>
      <x:c r="H527" s="54" t="str">
        <x:v>QAR-0001 &gt; QAR-0014 &gt; KIT-0045 &gt; DOC-0003</x:v>
      </x:c>
      <x:c r="I527"/>
    </x:row>
    <x:row r="528">
      <x:c r="A528" s="63" t="n">
        <x:v>3</x:v>
      </x:c>
      <x:c r="B528" s="63" t="str">
        <x:v>KIT-0045</x:v>
      </x:c>
      <x:c r="C528" s="63" t="str">
        <x:v>MAT-0040</x:v>
      </x:c>
      <x:c r="D528" s="63" t="str">
        <x:v>Sealing Wax Stick</x:v>
      </x:c>
      <x:c r="E528" s="63" t="n">
        <x:v>12</x:v>
      </x:c>
      <x:c r="F528" s="63" t="n">
        <x:v>12</x:v>
      </x:c>
      <x:c r="G528" s="54" t="str">
        <x:v>RECONSTRUCTED</x:v>
      </x:c>
      <x:c r="H528" s="54" t="str">
        <x:v>QAR-0001 &gt; QAR-0014 &gt; KIT-0045 &gt; MAT-0040</x:v>
      </x:c>
      <x:c r="I528"/>
    </x:row>
    <x:row r="529">
      <x:c r="A529" s="63" t="n">
        <x:v>3</x:v>
      </x:c>
      <x:c r="B529" s="63" t="str">
        <x:v>KIT-0045</x:v>
      </x:c>
      <x:c r="C529" s="63" t="str">
        <x:v>DOC-0001</x:v>
      </x:c>
      <x:c r="D529" s="63" t="str">
        <x:v>Carolina and Caribbean Coastal Chart Set</x:v>
      </x:c>
      <x:c r="E529" s="63" t="n">
        <x:v>1</x:v>
      </x:c>
      <x:c r="F529" s="63" t="n">
        <x:v>1</x:v>
      </x:c>
      <x:c r="G529" s="54" t="str">
        <x:v>RECONSTRUCTED</x:v>
      </x:c>
      <x:c r="H529" s="54" t="str">
        <x:v>QAR-0001 &gt; QAR-0014 &gt; KIT-0045 &gt; DOC-0001</x:v>
      </x:c>
      <x:c r="I529"/>
    </x:row>
    <x:row r="530">
      <x:c r="A530" s="63" t="n">
        <x:v>2</x:v>
      </x:c>
      <x:c r="B530" s="63" t="str">
        <x:v>QAR-0014</x:v>
      </x:c>
      <x:c r="C530" s="63" t="str">
        <x:v>ASM-0056</x:v>
      </x:c>
      <x:c r="D530" s="63" t="str">
        <x:v>Locking Strong Chest</x:v>
      </x:c>
      <x:c r="E530" s="63" t="n">
        <x:v>2</x:v>
      </x:c>
      <x:c r="F530" s="63" t="n">
        <x:v>2</x:v>
      </x:c>
      <x:c r="G530" s="54" t="str">
        <x:v>RECONSTRUCTED</x:v>
      </x:c>
      <x:c r="H530" s="54" t="str">
        <x:v>QAR-0001 &gt; QAR-0014 &gt; ASM-0056</x:v>
      </x:c>
      <x:c r="I530"/>
    </x:row>
    <x:row r="531">
      <x:c r="A531" s="63" t="n">
        <x:v>2</x:v>
      </x:c>
      <x:c r="B531" s="63" t="str">
        <x:v>QAR-0014</x:v>
      </x:c>
      <x:c r="C531" s="63" t="str">
        <x:v>KIT-0046</x:v>
      </x:c>
      <x:c r="D531" s="63" t="str">
        <x:v>Brass Trade Weight Set</x:v>
      </x:c>
      <x:c r="E531" s="63" t="n">
        <x:v>1</x:v>
      </x:c>
      <x:c r="F531" s="63" t="n">
        <x:v>1</x:v>
      </x:c>
      <x:c r="G531" s="54" t="str">
        <x:v>RECOVERED</x:v>
      </x:c>
      <x:c r="H531" s="54" t="str">
        <x:v>QAR-0001 &gt; QAR-0014 &gt; KIT-0046</x:v>
      </x:c>
      <x:c r="I531"/>
    </x:row>
    <x:row r="532">
      <x:c r="A532" s="63" t="n">
        <x:v>2</x:v>
      </x:c>
      <x:c r="B532" s="63" t="str">
        <x:v>QAR-0014</x:v>
      </x:c>
      <x:c r="C532" s="63" t="str">
        <x:v>ASM-0061</x:v>
      </x:c>
      <x:c r="D532" s="63" t="str">
        <x:v>Portable Beam Scale</x:v>
      </x:c>
      <x:c r="E532" s="63" t="n">
        <x:v>1</x:v>
      </x:c>
      <x:c r="F532" s="63" t="n">
        <x:v>1</x:v>
      </x:c>
      <x:c r="G532" s="54" t="str">
        <x:v>RECOVERED</x:v>
      </x:c>
      <x:c r="H532" s="54" t="str">
        <x:v>QAR-0001 &gt; QAR-0014 &gt; ASM-0061</x:v>
      </x:c>
      <x:c r="I532"/>
    </x:row>
    <x:row r="533">
      <x:c r="A533" s="63" t="n">
        <x:v>1</x:v>
      </x:c>
      <x:c r="B533" s="63" t="str">
        <x:v>QAR-0001</x:v>
      </x:c>
      <x:c r="C533" s="63" t="str">
        <x:v>QAR-0015</x:v>
      </x:c>
      <x:c r="D533" s="63" t="str">
        <x:v>Fire, Flood and Emergency Outfit</x:v>
      </x:c>
      <x:c r="E533" s="63" t="n">
        <x:v>1</x:v>
      </x:c>
      <x:c r="F533" s="63" t="n">
        <x:v>1</x:v>
      </x:c>
      <x:c r="G533" s="54" t="str">
        <x:v>RECONSTRUCTED</x:v>
      </x:c>
      <x:c r="H533" s="54" t="str">
        <x:v>QAR-0001 &gt; QAR-0015</x:v>
      </x:c>
      <x:c r="I533"/>
    </x:row>
    <x:row r="534">
      <x:c r="A534" s="63" t="n">
        <x:v>2</x:v>
      </x:c>
      <x:c r="B534" s="63" t="str">
        <x:v>QAR-0015</x:v>
      </x:c>
      <x:c r="C534" s="63" t="str">
        <x:v>OFT-0024</x:v>
      </x:c>
      <x:c r="D534" s="63" t="str">
        <x:v>Fire Response Outfit</x:v>
      </x:c>
      <x:c r="E534" s="63" t="n">
        <x:v>1</x:v>
      </x:c>
      <x:c r="F534" s="63" t="n">
        <x:v>1</x:v>
      </x:c>
      <x:c r="G534" s="54" t="str">
        <x:v>RECONSTRUCTED</x:v>
      </x:c>
      <x:c r="H534" s="54" t="str">
        <x:v>QAR-0001 &gt; QAR-0015 &gt; OFT-0024</x:v>
      </x:c>
      <x:c r="I534"/>
    </x:row>
    <x:row r="535">
      <x:c r="A535" s="63" t="n">
        <x:v>3</x:v>
      </x:c>
      <x:c r="B535" s="63" t="str">
        <x:v>OFT-0024</x:v>
      </x:c>
      <x:c r="C535" s="63" t="str">
        <x:v>PRT-0154</x:v>
      </x:c>
      <x:c r="D535" s="63" t="str">
        <x:v>Leather Fire Bucket</x:v>
      </x:c>
      <x:c r="E535" s="63" t="n">
        <x:v>36</x:v>
      </x:c>
      <x:c r="F535" s="63" t="n">
        <x:v>36</x:v>
      </x:c>
      <x:c r="G535" s="54" t="str">
        <x:v>RECONSTRUCTED</x:v>
      </x:c>
      <x:c r="H535" s="54" t="str">
        <x:v>QAR-0001 &gt; QAR-0015 &gt; OFT-0024 &gt; PRT-0154</x:v>
      </x:c>
      <x:c r="I535"/>
    </x:row>
    <x:row r="536">
      <x:c r="A536" s="63" t="n">
        <x:v>3</x:v>
      </x:c>
      <x:c r="B536" s="63" t="str">
        <x:v>OFT-0024</x:v>
      </x:c>
      <x:c r="C536" s="63" t="str">
        <x:v>ASM-0062</x:v>
      </x:c>
      <x:c r="D536" s="63" t="str">
        <x:v>Fire Sand Tub, Filled</x:v>
      </x:c>
      <x:c r="E536" s="63" t="n">
        <x:v>8</x:v>
      </x:c>
      <x:c r="F536" s="63" t="n">
        <x:v>8</x:v>
      </x:c>
      <x:c r="G536" s="54" t="str">
        <x:v>RECONSTRUCTED</x:v>
      </x:c>
      <x:c r="H536" s="54" t="str">
        <x:v>QAR-0001 &gt; QAR-0015 &gt; OFT-0024 &gt; ASM-0062</x:v>
      </x:c>
      <x:c r="I536"/>
    </x:row>
    <x:row r="537">
      <x:c r="A537" s="63" t="n">
        <x:v>3</x:v>
      </x:c>
      <x:c r="B537" s="63" t="str">
        <x:v>OFT-0024</x:v>
      </x:c>
      <x:c r="C537" s="63" t="str">
        <x:v>PRT-0155</x:v>
      </x:c>
      <x:c r="D537" s="63" t="str">
        <x:v>Fire Axe</x:v>
      </x:c>
      <x:c r="E537" s="63" t="n">
        <x:v>12</x:v>
      </x:c>
      <x:c r="F537" s="63" t="n">
        <x:v>12</x:v>
      </x:c>
      <x:c r="G537" s="54" t="str">
        <x:v>RECONSTRUCTED</x:v>
      </x:c>
      <x:c r="H537" s="54" t="str">
        <x:v>QAR-0001 &gt; QAR-0015 &gt; OFT-0024 &gt; PRT-0155</x:v>
      </x:c>
      <x:c r="I537"/>
    </x:row>
    <x:row r="538">
      <x:c r="A538" s="63" t="n">
        <x:v>3</x:v>
      </x:c>
      <x:c r="B538" s="63" t="str">
        <x:v>OFT-0024</x:v>
      </x:c>
      <x:c r="C538" s="63" t="str">
        <x:v>PRT-0156</x:v>
      </x:c>
      <x:c r="D538" s="63" t="str">
        <x:v>Heavy Wool Fire Blanket</x:v>
      </x:c>
      <x:c r="E538" s="63" t="n">
        <x:v>12</x:v>
      </x:c>
      <x:c r="F538" s="63" t="n">
        <x:v>12</x:v>
      </x:c>
      <x:c r="G538" s="54" t="str">
        <x:v>RECONSTRUCTED</x:v>
      </x:c>
      <x:c r="H538" s="54" t="str">
        <x:v>QAR-0001 &gt; QAR-0015 &gt; OFT-0024 &gt; PRT-0156</x:v>
      </x:c>
      <x:c r="I538"/>
    </x:row>
    <x:row r="539">
      <x:c r="A539" s="63" t="n">
        <x:v>3</x:v>
      </x:c>
      <x:c r="B539" s="63" t="str">
        <x:v>OFT-0024</x:v>
      </x:c>
      <x:c r="C539" s="63" t="str">
        <x:v>LBL-0012</x:v>
      </x:c>
      <x:c r="D539" s="63" t="str">
        <x:v>Safety Label - Fire Station</x:v>
      </x:c>
      <x:c r="E539" s="63" t="n">
        <x:v>12</x:v>
      </x:c>
      <x:c r="F539" s="63" t="n">
        <x:v>12</x:v>
      </x:c>
      <x:c r="G539" s="54" t="str">
        <x:v>FICTIONAL</x:v>
      </x:c>
      <x:c r="H539" s="54" t="str">
        <x:v>QAR-0001 &gt; QAR-0015 &gt; OFT-0024 &gt; LBL-0012</x:v>
      </x:c>
      <x:c r="I539"/>
    </x:row>
    <x:row r="540">
      <x:c r="A540" s="63" t="n">
        <x:v>2</x:v>
      </x:c>
      <x:c r="B540" s="63" t="str">
        <x:v>QAR-0015</x:v>
      </x:c>
      <x:c r="C540" s="63" t="str">
        <x:v>OFT-0025</x:v>
      </x:c>
      <x:c r="D540" s="63" t="str">
        <x:v>Flood and Collision Response Outfit</x:v>
      </x:c>
      <x:c r="E540" s="63" t="n">
        <x:v>1</x:v>
      </x:c>
      <x:c r="F540" s="63" t="n">
        <x:v>1</x:v>
      </x:c>
      <x:c r="G540" s="54" t="str">
        <x:v>RECONSTRUCTED</x:v>
      </x:c>
      <x:c r="H540" s="54" t="str">
        <x:v>QAR-0001 &gt; QAR-0015 &gt; OFT-0025</x:v>
      </x:c>
      <x:c r="I540"/>
    </x:row>
    <x:row r="541">
      <x:c r="A541" s="63" t="n">
        <x:v>3</x:v>
      </x:c>
      <x:c r="B541" s="63" t="str">
        <x:v>OFT-0025</x:v>
      </x:c>
      <x:c r="C541" s="63" t="str">
        <x:v>KIT-0047</x:v>
      </x:c>
      <x:c r="D541" s="63" t="str">
        <x:v>Tapered Hull Plug Kit</x:v>
      </x:c>
      <x:c r="E541" s="63" t="n">
        <x:v>8</x:v>
      </x:c>
      <x:c r="F541" s="63" t="n">
        <x:v>8</x:v>
      </x:c>
      <x:c r="G541" s="54" t="str">
        <x:v>RECONSTRUCTED</x:v>
      </x:c>
      <x:c r="H541" s="54" t="str">
        <x:v>QAR-0001 &gt; QAR-0015 &gt; OFT-0025 &gt; KIT-0047</x:v>
      </x:c>
      <x:c r="I541"/>
    </x:row>
    <x:row r="542">
      <x:c r="A542" s="63" t="n">
        <x:v>3</x:v>
      </x:c>
      <x:c r="B542" s="63" t="str">
        <x:v>OFT-0025</x:v>
      </x:c>
      <x:c r="C542" s="63" t="str">
        <x:v>ASM-0063</x:v>
      </x:c>
      <x:c r="D542" s="63" t="str">
        <x:v>Collision Mat and Rigging</x:v>
      </x:c>
      <x:c r="E542" s="63" t="n">
        <x:v>4</x:v>
      </x:c>
      <x:c r="F542" s="63" t="n">
        <x:v>4</x:v>
      </x:c>
      <x:c r="G542" s="54" t="str">
        <x:v>RECONSTRUCTED</x:v>
      </x:c>
      <x:c r="H542" s="54" t="str">
        <x:v>QAR-0001 &gt; QAR-0015 &gt; OFT-0025 &gt; ASM-0063</x:v>
      </x:c>
      <x:c r="I542"/>
    </x:row>
    <x:row r="543">
      <x:c r="A543" s="63" t="n">
        <x:v>3</x:v>
      </x:c>
      <x:c r="B543" s="63" t="str">
        <x:v>OFT-0025</x:v>
      </x:c>
      <x:c r="C543" s="63" t="str">
        <x:v>ASM-0007</x:v>
      </x:c>
      <x:c r="D543" s="63" t="str">
        <x:v>Bilge Bucket with Rope</x:v>
      </x:c>
      <x:c r="E543" s="63" t="n">
        <x:v>24</x:v>
      </x:c>
      <x:c r="F543" s="63" t="n">
        <x:v>24</x:v>
      </x:c>
      <x:c r="G543" s="54" t="str">
        <x:v>RECONSTRUCTED</x:v>
      </x:c>
      <x:c r="H543" s="54" t="str">
        <x:v>QAR-0001 &gt; QAR-0015 &gt; OFT-0025 &gt; ASM-0007</x:v>
      </x:c>
      <x:c r="I543"/>
    </x:row>
    <x:row r="544">
      <x:c r="A544" s="63" t="n">
        <x:v>3</x:v>
      </x:c>
      <x:c r="B544" s="63" t="str">
        <x:v>OFT-0025</x:v>
      </x:c>
      <x:c r="C544" s="63" t="str">
        <x:v>KIT-0030</x:v>
      </x:c>
      <x:c r="D544" s="63" t="str">
        <x:v>Emergency Hull Patch Kit</x:v>
      </x:c>
      <x:c r="E544" s="63" t="n">
        <x:v>2</x:v>
      </x:c>
      <x:c r="F544" s="63" t="n">
        <x:v>2</x:v>
      </x:c>
      <x:c r="G544" s="54" t="str">
        <x:v>RECONSTRUCTED</x:v>
      </x:c>
      <x:c r="H544" s="54" t="str">
        <x:v>QAR-0001 &gt; QAR-0015 &gt; OFT-0025 &gt; KIT-0030</x:v>
      </x:c>
      <x:c r="I544"/>
    </x:row>
    <x:row r="545">
      <x:c r="A545" s="63" t="n">
        <x:v>4</x:v>
      </x:c>
      <x:c r="B545" s="63" t="str">
        <x:v>KIT-0030</x:v>
      </x:c>
      <x:c r="C545" s="63" t="str">
        <x:v>PRT-0120</x:v>
      </x:c>
      <x:c r="D545" s="63" t="str">
        <x:v>Emergency Patch Plank</x:v>
      </x:c>
      <x:c r="E545" s="63" t="n">
        <x:v>8</x:v>
      </x:c>
      <x:c r="F545" s="63" t="n">
        <x:v>16</x:v>
      </x:c>
      <x:c r="G545" s="54" t="str">
        <x:v>RECONSTRUCTED</x:v>
      </x:c>
      <x:c r="H545" s="54" t="str">
        <x:v>QAR-0001 &gt; QAR-0015 &gt; OFT-0025 &gt; KIT-0030 &gt; PRT-0120</x:v>
      </x:c>
      <x:c r="I545"/>
    </x:row>
    <x:row r="546">
      <x:c r="A546" s="63" t="n">
        <x:v>4</x:v>
      </x:c>
      <x:c r="B546" s="63" t="str">
        <x:v>KIT-0030</x:v>
      </x:c>
      <x:c r="C546" s="63" t="str">
        <x:v>PRT-0121</x:v>
      </x:c>
      <x:c r="D546" s="63" t="str">
        <x:v>Heavy Collision Canvas, 12 x 12 ft</x:v>
      </x:c>
      <x:c r="E546" s="63" t="n">
        <x:v>2</x:v>
      </x:c>
      <x:c r="F546" s="63" t="n">
        <x:v>4</x:v>
      </x:c>
      <x:c r="G546" s="54" t="str">
        <x:v>RECONSTRUCTED</x:v>
      </x:c>
      <x:c r="H546" s="54" t="str">
        <x:v>QAR-0001 &gt; QAR-0015 &gt; OFT-0025 &gt; KIT-0030 &gt; PRT-0121</x:v>
      </x:c>
      <x:c r="I546"/>
    </x:row>
    <x:row r="547">
      <x:c r="A547" s="63" t="n">
        <x:v>4</x:v>
      </x:c>
      <x:c r="B547" s="63" t="str">
        <x:v>KIT-0030</x:v>
      </x:c>
      <x:c r="C547" s="63" t="str">
        <x:v>MAT-0010</x:v>
      </x:c>
      <x:c r="D547" s="63" t="str">
        <x:v>Oakum Bale, 25 lb</x:v>
      </x:c>
      <x:c r="E547" s="63" t="n">
        <x:v>2</x:v>
      </x:c>
      <x:c r="F547" s="63" t="n">
        <x:v>4</x:v>
      </x:c>
      <x:c r="G547" s="54" t="str">
        <x:v>RECONSTRUCTED</x:v>
      </x:c>
      <x:c r="H547" s="54" t="str">
        <x:v>QAR-0001 &gt; QAR-0015 &gt; OFT-0025 &gt; KIT-0030 &gt; MAT-0010</x:v>
      </x:c>
      <x:c r="I547"/>
    </x:row>
    <x:row r="548">
      <x:c r="A548" s="63" t="n">
        <x:v>4</x:v>
      </x:c>
      <x:c r="B548" s="63" t="str">
        <x:v>KIT-0030</x:v>
      </x:c>
      <x:c r="C548" s="63" t="str">
        <x:v>PRT-0002</x:v>
      </x:c>
      <x:c r="D548" s="63" t="str">
        <x:v>Large Wrought-Iron Hull Spike</x:v>
      </x:c>
      <x:c r="E548" s="63" t="n">
        <x:v>40</x:v>
      </x:c>
      <x:c r="F548" s="63" t="n">
        <x:v>80</x:v>
      </x:c>
      <x:c r="G548" s="54" t="str">
        <x:v>RECOVERED</x:v>
      </x:c>
      <x:c r="H548" s="54" t="str">
        <x:v>QAR-0001 &gt; QAR-0015 &gt; OFT-0025 &gt; KIT-0030 &gt; PRT-0002</x:v>
      </x:c>
      <x:c r="I548"/>
    </x:row>
    <x:row r="549">
      <x:c r="A549" s="63" t="n">
        <x:v>4</x:v>
      </x:c>
      <x:c r="B549" s="63" t="str">
        <x:v>KIT-0030</x:v>
      </x:c>
      <x:c r="C549" s="63" t="str">
        <x:v>PRT-0116</x:v>
      </x:c>
      <x:c r="D549" s="63" t="str">
        <x:v>Claw Hammer</x:v>
      </x:c>
      <x:c r="E549" s="63" t="n">
        <x:v>2</x:v>
      </x:c>
      <x:c r="F549" s="63" t="n">
        <x:v>4</x:v>
      </x:c>
      <x:c r="G549" s="54" t="str">
        <x:v>RECONSTRUCTED</x:v>
      </x:c>
      <x:c r="H549" s="54" t="str">
        <x:v>QAR-0001 &gt; QAR-0015 &gt; OFT-0025 &gt; KIT-0030 &gt; PRT-0116</x:v>
      </x:c>
      <x:c r="I549"/>
    </x:row>
    <x:row r="550">
      <x:c r="A550" s="63" t="n">
        <x:v>4</x:v>
      </x:c>
      <x:c r="B550" s="63" t="str">
        <x:v>KIT-0030</x:v>
      </x:c>
      <x:c r="C550" s="63" t="str">
        <x:v>PRT-0119</x:v>
      </x:c>
      <x:c r="D550" s="63" t="str">
        <x:v>Caulking Iron</x:v>
      </x:c>
      <x:c r="E550" s="63" t="n">
        <x:v>4</x:v>
      </x:c>
      <x:c r="F550" s="63" t="n">
        <x:v>8</x:v>
      </x:c>
      <x:c r="G550" s="54" t="str">
        <x:v>RECONSTRUCTED</x:v>
      </x:c>
      <x:c r="H550" s="54" t="str">
        <x:v>QAR-0001 &gt; QAR-0015 &gt; OFT-0025 &gt; KIT-0030 &gt; PRT-0119</x:v>
      </x:c>
      <x:c r="I550"/>
    </x:row>
    <x:row r="551">
      <x:c r="A551" s="63" t="n">
        <x:v>4</x:v>
      </x:c>
      <x:c r="B551" s="63" t="str">
        <x:v>KIT-0030</x:v>
      </x:c>
      <x:c r="C551" s="63" t="str">
        <x:v>LBL-0005</x:v>
      </x:c>
      <x:c r="D551" s="63" t="str">
        <x:v>Safety Label - Team Lift / Heavy Tackle</x:v>
      </x:c>
      <x:c r="E551" s="63" t="n">
        <x:v>1</x:v>
      </x:c>
      <x:c r="F551" s="63" t="n">
        <x:v>2</x:v>
      </x:c>
      <x:c r="G551" s="54" t="str">
        <x:v>FICTIONAL</x:v>
      </x:c>
      <x:c r="H551" s="54" t="str">
        <x:v>QAR-0001 &gt; QAR-0015 &gt; OFT-0025 &gt; KIT-0030 &gt; LBL-0005</x:v>
      </x:c>
      <x:c r="I551"/>
    </x:row>
    <x:row r="552">
      <x:c r="A552" s="63" t="n">
        <x:v>3</x:v>
      </x:c>
      <x:c r="B552" s="63" t="str">
        <x:v>OFT-0025</x:v>
      </x:c>
      <x:c r="C552" s="63" t="str">
        <x:v>LBL-0013</x:v>
      </x:c>
      <x:c r="D552" s="63" t="str">
        <x:v>Safety Label - Flood Response Kit</x:v>
      </x:c>
      <x:c r="E552" s="63" t="n">
        <x:v>8</x:v>
      </x:c>
      <x:c r="F552" s="63" t="n">
        <x:v>8</x:v>
      </x:c>
      <x:c r="G552" s="54" t="str">
        <x:v>FICTIONAL</x:v>
      </x:c>
      <x:c r="H552" s="54" t="str">
        <x:v>QAR-0001 &gt; QAR-0015 &gt; OFT-0025 &gt; LBL-0013</x:v>
      </x:c>
      <x:c r="I552"/>
    </x:row>
    <x:row r="553">
      <x:c r="A553" s="63" t="n">
        <x:v>2</x:v>
      </x:c>
      <x:c r="B553" s="63" t="str">
        <x:v>QAR-0015</x:v>
      </x:c>
      <x:c r="C553" s="63" t="str">
        <x:v>OFT-0026</x:v>
      </x:c>
      <x:c r="D553" s="63" t="str">
        <x:v>Abandon-Ship Emergency Stores</x:v>
      </x:c>
      <x:c r="E553" s="63" t="n">
        <x:v>1</x:v>
      </x:c>
      <x:c r="F553" s="63" t="n">
        <x:v>1</x:v>
      </x:c>
      <x:c r="G553" s="54" t="str">
        <x:v>RECONSTRUCTED</x:v>
      </x:c>
      <x:c r="H553" s="54" t="str">
        <x:v>QAR-0001 &gt; QAR-0015 &gt; OFT-0026</x:v>
      </x:c>
      <x:c r="I553"/>
    </x:row>
    <x:row r="554">
      <x:c r="A554" s="63" t="n">
        <x:v>3</x:v>
      </x:c>
      <x:c r="B554" s="63" t="str">
        <x:v>OFT-0026</x:v>
      </x:c>
      <x:c r="C554" s="63" t="str">
        <x:v>KIT-0048</x:v>
      </x:c>
      <x:c r="D554" s="63" t="str">
        <x:v>Emergency Provision Chest</x:v>
      </x:c>
      <x:c r="E554" s="63" t="n">
        <x:v>3</x:v>
      </x:c>
      <x:c r="F554" s="63" t="n">
        <x:v>3</x:v>
      </x:c>
      <x:c r="G554" s="54" t="str">
        <x:v>RECONSTRUCTED</x:v>
      </x:c>
      <x:c r="H554" s="54" t="str">
        <x:v>QAR-0001 &gt; QAR-0015 &gt; OFT-0026 &gt; KIT-0048</x:v>
      </x:c>
      <x:c r="I554"/>
    </x:row>
    <x:row r="555">
      <x:c r="A555" s="63" t="n">
        <x:v>4</x:v>
      </x:c>
      <x:c r="B555" s="63" t="str">
        <x:v>KIT-0048</x:v>
      </x:c>
      <x:c r="C555" s="63" t="str">
        <x:v>ASM-0045</x:v>
      </x:c>
      <x:c r="D555" s="63" t="str">
        <x:v>Ship's Biscuit Cask, 100 lb</x:v>
      </x:c>
      <x:c r="E555" s="63" t="n">
        <x:v>2</x:v>
      </x:c>
      <x:c r="F555" s="63" t="n">
        <x:v>6</x:v>
      </x:c>
      <x:c r="G555" s="54" t="str">
        <x:v>RECONSTRUCTED</x:v>
      </x:c>
      <x:c r="H555" s="54" t="str">
        <x:v>QAR-0001 &gt; QAR-0015 &gt; OFT-0026 &gt; KIT-0048 &gt; ASM-0045</x:v>
      </x:c>
      <x:c r="I555"/>
    </x:row>
    <x:row r="556">
      <x:c r="A556" s="63" t="n">
        <x:v>5</x:v>
      </x:c>
      <x:c r="B556" s="63" t="str">
        <x:v>ASM-0045</x:v>
      </x:c>
      <x:c r="C556" s="63" t="str">
        <x:v>PKG-0010</x:v>
      </x:c>
      <x:c r="D556" s="63" t="str">
        <x:v>Oak Provision Barrel, 200 lb Capacity</x:v>
      </x:c>
      <x:c r="E556" s="63" t="n">
        <x:v>1</x:v>
      </x:c>
      <x:c r="F556" s="63" t="n">
        <x:v>6</x:v>
      </x:c>
      <x:c r="G556" s="54" t="str">
        <x:v>RECOVERED</x:v>
      </x:c>
      <x:c r="H556" s="54" t="str">
        <x:v>QAR-0001 &gt; QAR-0015 &gt; OFT-0026 &gt; KIT-0048 &gt; ASM-0045 &gt; PKG-0010</x:v>
      </x:c>
      <x:c r="I556"/>
    </x:row>
    <x:row r="557">
      <x:c r="A557" s="63" t="n">
        <x:v>5</x:v>
      </x:c>
      <x:c r="B557" s="63" t="str">
        <x:v>ASM-0045</x:v>
      </x:c>
      <x:c r="C557" s="63" t="str">
        <x:v>MAT-0029</x:v>
      </x:c>
      <x:c r="D557" s="63" t="str">
        <x:v>Ship's Biscuit, Pound</x:v>
      </x:c>
      <x:c r="E557" s="63" t="n">
        <x:v>100</x:v>
      </x:c>
      <x:c r="F557" s="63" t="n">
        <x:v>600</x:v>
      </x:c>
      <x:c r="G557" s="54" t="str">
        <x:v>RECONSTRUCTED</x:v>
      </x:c>
      <x:c r="H557" s="54" t="str">
        <x:v>QAR-0001 &gt; QAR-0015 &gt; OFT-0026 &gt; KIT-0048 &gt; ASM-0045 &gt; MAT-0029</x:v>
      </x:c>
      <x:c r="I557"/>
    </x:row>
    <x:row r="558">
      <x:c r="A558" s="63" t="n">
        <x:v>5</x:v>
      </x:c>
      <x:c r="B558" s="63" t="str">
        <x:v>ASM-0045</x:v>
      </x:c>
      <x:c r="C558" s="63" t="str">
        <x:v>LBL-0009</x:v>
      </x:c>
      <x:c r="D558" s="63" t="str">
        <x:v>Provision Label - Food Lot</x:v>
      </x:c>
      <x:c r="E558" s="63" t="n">
        <x:v>1</x:v>
      </x:c>
      <x:c r="F558" s="63" t="n">
        <x:v>6</x:v>
      </x:c>
      <x:c r="G558" s="54" t="str">
        <x:v>FICTIONAL</x:v>
      </x:c>
      <x:c r="H558" s="54" t="str">
        <x:v>QAR-0001 &gt; QAR-0015 &gt; OFT-0026 &gt; KIT-0048 &gt; ASM-0045 &gt; LBL-0009</x:v>
      </x:c>
      <x:c r="I558"/>
    </x:row>
    <x:row r="559">
      <x:c r="A559" s="63" t="n">
        <x:v>4</x:v>
      </x:c>
      <x:c r="B559" s="63" t="str">
        <x:v>KIT-0048</x:v>
      </x:c>
      <x:c r="C559" s="63" t="str">
        <x:v>ASM-0042</x:v>
      </x:c>
      <x:c r="D559" s="63" t="str">
        <x:v>Potable Water Cask, 50 gal</x:v>
      </x:c>
      <x:c r="E559" s="63" t="n">
        <x:v>1</x:v>
      </x:c>
      <x:c r="F559" s="63" t="n">
        <x:v>3</x:v>
      </x:c>
      <x:c r="G559" s="54" t="str">
        <x:v>RECONSTRUCTED</x:v>
      </x:c>
      <x:c r="H559" s="54" t="str">
        <x:v>QAR-0001 &gt; QAR-0015 &gt; OFT-0026 &gt; KIT-0048 &gt; ASM-0042</x:v>
      </x:c>
      <x:c r="I559"/>
    </x:row>
    <x:row r="560">
      <x:c r="A560" s="63" t="n">
        <x:v>5</x:v>
      </x:c>
      <x:c r="B560" s="63" t="str">
        <x:v>ASM-0042</x:v>
      </x:c>
      <x:c r="C560" s="63" t="str">
        <x:v>PKG-0009</x:v>
      </x:c>
      <x:c r="D560" s="63" t="str">
        <x:v>Oak Cask, 50 gal Capacity</x:v>
      </x:c>
      <x:c r="E560" s="63" t="n">
        <x:v>1</x:v>
      </x:c>
      <x:c r="F560" s="63" t="n">
        <x:v>3</x:v>
      </x:c>
      <x:c r="G560" s="54" t="str">
        <x:v>RECOVERED</x:v>
      </x:c>
      <x:c r="H560" s="54" t="str">
        <x:v>QAR-0001 &gt; QAR-0015 &gt; OFT-0026 &gt; KIT-0048 &gt; ASM-0042 &gt; PKG-0009</x:v>
      </x:c>
      <x:c r="I560"/>
    </x:row>
    <x:row r="561">
      <x:c r="A561" s="63" t="n">
        <x:v>5</x:v>
      </x:c>
      <x:c r="B561" s="63" t="str">
        <x:v>ASM-0042</x:v>
      </x:c>
      <x:c r="C561" s="63" t="str">
        <x:v>MAT-0026</x:v>
      </x:c>
      <x:c r="D561" s="63" t="str">
        <x:v>Potable Water, Gallon</x:v>
      </x:c>
      <x:c r="E561" s="63" t="n">
        <x:v>50</x:v>
      </x:c>
      <x:c r="F561" s="63" t="n">
        <x:v>150</x:v>
      </x:c>
      <x:c r="G561" s="54" t="str">
        <x:v>RECONSTRUCTED</x:v>
      </x:c>
      <x:c r="H561" s="54" t="str">
        <x:v>QAR-0001 &gt; QAR-0015 &gt; OFT-0026 &gt; KIT-0048 &gt; ASM-0042 &gt; MAT-0026</x:v>
      </x:c>
      <x:c r="I561"/>
    </x:row>
    <x:row r="562">
      <x:c r="A562" s="63" t="n">
        <x:v>5</x:v>
      </x:c>
      <x:c r="B562" s="63" t="str">
        <x:v>ASM-0042</x:v>
      </x:c>
      <x:c r="C562" s="63" t="str">
        <x:v>LBL-0007</x:v>
      </x:c>
      <x:c r="D562" s="63" t="str">
        <x:v>Provision Label - Potable Water</x:v>
      </x:c>
      <x:c r="E562" s="63" t="n">
        <x:v>1</x:v>
      </x:c>
      <x:c r="F562" s="63" t="n">
        <x:v>3</x:v>
      </x:c>
      <x:c r="G562" s="54" t="str">
        <x:v>FICTIONAL</x:v>
      </x:c>
      <x:c r="H562" s="54" t="str">
        <x:v>QAR-0001 &gt; QAR-0015 &gt; OFT-0026 &gt; KIT-0048 &gt; ASM-0042 &gt; LBL-0007</x:v>
      </x:c>
      <x:c r="I562"/>
    </x:row>
    <x:row r="563">
      <x:c r="A563" s="63" t="n">
        <x:v>4</x:v>
      </x:c>
      <x:c r="B563" s="63" t="str">
        <x:v>KIT-0048</x:v>
      </x:c>
      <x:c r="C563" s="63" t="str">
        <x:v>ASM-0043</x:v>
      </x:c>
      <x:c r="D563" s="63" t="str">
        <x:v>Rum Cask, 50 gal</x:v>
      </x:c>
      <x:c r="E563" s="63" t="n">
        <x:v>1</x:v>
      </x:c>
      <x:c r="F563" s="63" t="n">
        <x:v>3</x:v>
      </x:c>
      <x:c r="G563" s="54" t="str">
        <x:v>RECONSTRUCTED</x:v>
      </x:c>
      <x:c r="H563" s="54" t="str">
        <x:v>QAR-0001 &gt; QAR-0015 &gt; OFT-0026 &gt; KIT-0048 &gt; ASM-0043</x:v>
      </x:c>
      <x:c r="I563"/>
    </x:row>
    <x:row r="564">
      <x:c r="A564" s="63" t="n">
        <x:v>5</x:v>
      </x:c>
      <x:c r="B564" s="63" t="str">
        <x:v>ASM-0043</x:v>
      </x:c>
      <x:c r="C564" s="63" t="str">
        <x:v>PKG-0009</x:v>
      </x:c>
      <x:c r="D564" s="63" t="str">
        <x:v>Oak Cask, 50 gal Capacity</x:v>
      </x:c>
      <x:c r="E564" s="63" t="n">
        <x:v>1</x:v>
      </x:c>
      <x:c r="F564" s="63" t="n">
        <x:v>3</x:v>
      </x:c>
      <x:c r="G564" s="54" t="str">
        <x:v>RECOVERED</x:v>
      </x:c>
      <x:c r="H564" s="54" t="str">
        <x:v>QAR-0001 &gt; QAR-0015 &gt; OFT-0026 &gt; KIT-0048 &gt; ASM-0043 &gt; PKG-0009</x:v>
      </x:c>
      <x:c r="I564"/>
    </x:row>
    <x:row r="565">
      <x:c r="A565" s="63" t="n">
        <x:v>5</x:v>
      </x:c>
      <x:c r="B565" s="63" t="str">
        <x:v>ASM-0043</x:v>
      </x:c>
      <x:c r="C565" s="63" t="str">
        <x:v>MAT-0027</x:v>
      </x:c>
      <x:c r="D565" s="63" t="str">
        <x:v>Caribbean Rum, Gallon</x:v>
      </x:c>
      <x:c r="E565" s="63" t="n">
        <x:v>50</x:v>
      </x:c>
      <x:c r="F565" s="63" t="n">
        <x:v>150</x:v>
      </x:c>
      <x:c r="G565" s="54" t="str">
        <x:v>RECONSTRUCTED</x:v>
      </x:c>
      <x:c r="H565" s="54" t="str">
        <x:v>QAR-0001 &gt; QAR-0015 &gt; OFT-0026 &gt; KIT-0048 &gt; ASM-0043 &gt; MAT-0027</x:v>
      </x:c>
      <x:c r="I565"/>
    </x:row>
    <x:row r="566">
      <x:c r="A566" s="63" t="n">
        <x:v>5</x:v>
      </x:c>
      <x:c r="B566" s="63" t="str">
        <x:v>ASM-0043</x:v>
      </x:c>
      <x:c r="C566" s="63" t="str">
        <x:v>LBL-0008</x:v>
      </x:c>
      <x:c r="D566" s="63" t="str">
        <x:v>Provision Label - Rum / Flammable</x:v>
      </x:c>
      <x:c r="E566" s="63" t="n">
        <x:v>1</x:v>
      </x:c>
      <x:c r="F566" s="63" t="n">
        <x:v>3</x:v>
      </x:c>
      <x:c r="G566" s="54" t="str">
        <x:v>FICTIONAL</x:v>
      </x:c>
      <x:c r="H566" s="54" t="str">
        <x:v>QAR-0001 &gt; QAR-0015 &gt; OFT-0026 &gt; KIT-0048 &gt; ASM-0043 &gt; LBL-0008</x:v>
      </x:c>
      <x:c r="I566"/>
    </x:row>
    <x:row r="567">
      <x:c r="A567" s="63" t="n">
        <x:v>3</x:v>
      </x:c>
      <x:c r="B567" s="63" t="str">
        <x:v>OFT-0026</x:v>
      </x:c>
      <x:c r="C567" s="63" t="str">
        <x:v>PKG-0017</x:v>
      </x:c>
      <x:c r="D567" s="63" t="str">
        <x:v>Emergency Water Breaker, 20 gal</x:v>
      </x:c>
      <x:c r="E567" s="63" t="n">
        <x:v>12</x:v>
      </x:c>
      <x:c r="F567" s="63" t="n">
        <x:v>12</x:v>
      </x:c>
      <x:c r="G567" s="54" t="str">
        <x:v>RECONSTRUCTED</x:v>
      </x:c>
      <x:c r="H567" s="54" t="str">
        <x:v>QAR-0001 &gt; QAR-0015 &gt; OFT-0026 &gt; PKG-0017</x:v>
      </x:c>
      <x:c r="I567"/>
    </x:row>
    <x:row r="568">
      <x:c r="A568" s="63" t="n">
        <x:v>3</x:v>
      </x:c>
      <x:c r="B568" s="63" t="str">
        <x:v>OFT-0026</x:v>
      </x:c>
      <x:c r="C568" s="63" t="str">
        <x:v>ASM-0035</x:v>
      </x:c>
      <x:c r="D568" s="63" t="str">
        <x:v>Enclosed Deck Lantern</x:v>
      </x:c>
      <x:c r="E568" s="63" t="n">
        <x:v>6</x:v>
      </x:c>
      <x:c r="F568" s="63" t="n">
        <x:v>6</x:v>
      </x:c>
      <x:c r="G568" s="54" t="str">
        <x:v>RECONSTRUCTED</x:v>
      </x:c>
      <x:c r="H568" s="54" t="str">
        <x:v>QAR-0001 &gt; QAR-0015 &gt; OFT-0026 &gt; ASM-0035</x:v>
      </x:c>
      <x:c r="I568"/>
    </x:row>
    <x:row r="569">
      <x:c r="A569" s="63" t="n">
        <x:v>3</x:v>
      </x:c>
      <x:c r="B569" s="63" t="str">
        <x:v>OFT-0026</x:v>
      </x:c>
      <x:c r="C569" s="63" t="str">
        <x:v>KIT-0027</x:v>
      </x:c>
      <x:c r="D569" s="63" t="str">
        <x:v>Signal Flag Set</x:v>
      </x:c>
      <x:c r="E569" s="63" t="n">
        <x:v>1</x:v>
      </x:c>
      <x:c r="F569" s="63" t="n">
        <x:v>1</x:v>
      </x:c>
      <x:c r="G569" s="54" t="str">
        <x:v>RECONSTRUCTED</x:v>
      </x:c>
      <x:c r="H569" s="54" t="str">
        <x:v>QAR-0001 &gt; QAR-0015 &gt; OFT-0026 &gt; KIT-0027</x:v>
      </x:c>
      <x:c r="I569"/>
    </x:row>
    <x:row r="570">
      <x:c r="A570" s="63" t="n">
        <x:v>1</x:v>
      </x:c>
      <x:c r="B570" s="63" t="str">
        <x:v>QAR-0001</x:v>
      </x:c>
      <x:c r="C570" s="63" t="str">
        <x:v>QAR-0016</x:v>
      </x:c>
      <x:c r="D570" s="63" t="str">
        <x:v>Reconstruction Label and Inspection Stock</x:v>
      </x:c>
      <x:c r="E570" s="63" t="n">
        <x:v>1</x:v>
      </x:c>
      <x:c r="F570" s="63" t="n">
        <x:v>1</x:v>
      </x:c>
      <x:c r="G570" s="54" t="str">
        <x:v>RECONSTRUCTED</x:v>
      </x:c>
      <x:c r="H570" s="54" t="str">
        <x:v>QAR-0001 &gt; QAR-0016</x:v>
      </x:c>
      <x:c r="I570"/>
    </x:row>
    <x:row r="571">
      <x:c r="A571" s="63" t="n">
        <x:v>2</x:v>
      </x:c>
      <x:c r="B571" s="63" t="str">
        <x:v>QAR-0016</x:v>
      </x:c>
      <x:c r="C571" s="63" t="str">
        <x:v>LBL-0014</x:v>
      </x:c>
      <x:c r="D571" s="63" t="str">
        <x:v>General Kit Identification Label</x:v>
      </x:c>
      <x:c r="E571" s="63" t="n">
        <x:v>500</x:v>
      </x:c>
      <x:c r="F571" s="63" t="n">
        <x:v>500</x:v>
      </x:c>
      <x:c r="G571" s="54" t="str">
        <x:v>FICTIONAL</x:v>
      </x:c>
      <x:c r="H571" s="54" t="str">
        <x:v>QAR-0001 &gt; QAR-0016 &gt; LBL-0014</x:v>
      </x:c>
      <x:c r="I571"/>
    </x:row>
    <x:row r="572">
      <x:c r="A572" s="63" t="n">
        <x:v>2</x:v>
      </x:c>
      <x:c r="B572" s="63" t="str">
        <x:v>QAR-0016</x:v>
      </x:c>
      <x:c r="C572" s="63" t="str">
        <x:v>LBL-0015</x:v>
      </x:c>
      <x:c r="D572" s="63" t="str">
        <x:v>Inspection Status Label</x:v>
      </x:c>
      <x:c r="E572" s="63" t="n">
        <x:v>500</x:v>
      </x:c>
      <x:c r="F572" s="63" t="n">
        <x:v>500</x:v>
      </x:c>
      <x:c r="G572" s="54" t="str">
        <x:v>FICTIONAL</x:v>
      </x:c>
      <x:c r="H572" s="54" t="str">
        <x:v>QAR-0001 &gt; QAR-0016 &gt; LBL-0015</x:v>
      </x:c>
      <x:c r="I572"/>
    </x:row>
    <x:row r="573">
      <x:c r="A573" s="63" t="n">
        <x:v>2</x:v>
      </x:c>
      <x:c r="B573" s="63" t="str">
        <x:v>QAR-0016</x:v>
      </x:c>
      <x:c r="C573" s="63" t="str">
        <x:v>LBL-0016</x:v>
      </x:c>
      <x:c r="D573" s="63" t="str">
        <x:v>Stowage Location Label</x:v>
      </x:c>
      <x:c r="E573" s="63" t="n">
        <x:v>500</x:v>
      </x:c>
      <x:c r="F573" s="63" t="n">
        <x:v>500</x:v>
      </x:c>
      <x:c r="G573" s="54" t="str">
        <x:v>FICTIONAL</x:v>
      </x:c>
      <x:c r="H573" s="54" t="str">
        <x:v>QAR-0001 &gt; QAR-0016 &gt; LBL-0016</x:v>
      </x:c>
      <x:c r="I573"/>
    </x:row>
    <x:row r="574">
      <x:c r="A574" s="63" t="n">
        <x:v>2</x:v>
      </x:c>
      <x:c r="B574" s="63" t="str">
        <x:v>QAR-0016</x:v>
      </x:c>
      <x:c r="C574" s="63" t="str">
        <x:v>LBL-0017</x:v>
      </x:c>
      <x:c r="D574" s="63" t="str">
        <x:v>Safety Label - Keep Dry</x:v>
      </x:c>
      <x:c r="E574" s="63" t="n">
        <x:v>200</x:v>
      </x:c>
      <x:c r="F574" s="63" t="n">
        <x:v>200</x:v>
      </x:c>
      <x:c r="G574" s="54" t="str">
        <x:v>FICTIONAL</x:v>
      </x:c>
      <x:c r="H574" s="54" t="str">
        <x:v>QAR-0001 &gt; QAR-0016 &gt; LBL-0017</x:v>
      </x:c>
      <x:c r="I574"/>
    </x:row>
    <x:row r="575">
      <x:c r="A575" s="63" t="n">
        <x:v>2</x:v>
      </x:c>
      <x:c r="B575" s="63" t="str">
        <x:v>QAR-0016</x:v>
      </x:c>
      <x:c r="C575" s="63" t="str">
        <x:v>LBL-0018</x:v>
      </x:c>
      <x:c r="D575" s="63" t="str">
        <x:v>Safety Label - Incomplete / Do Not Issue</x:v>
      </x:c>
      <x:c r="E575" s="63" t="n">
        <x:v>100</x:v>
      </x:c>
      <x:c r="F575" s="63" t="n">
        <x:v>100</x:v>
      </x:c>
      <x:c r="G575" s="54" t="str">
        <x:v>FICTIONAL</x:v>
      </x:c>
      <x:c r="H575" s="54" t="str">
        <x:v>QAR-0001 &gt; QAR-0016 &gt; LBL-0018</x:v>
      </x:c>
      <x:c r="I575"/>
    </x:row>
    <x:row r="576">
      <x:c r="A576" s="63" t="n">
        <x:v>2</x:v>
      </x:c>
      <x:c r="B576" s="63" t="str">
        <x:v>QAR-0016</x:v>
      </x:c>
      <x:c r="C576" s="63" t="str">
        <x:v>LBL-0019</x:v>
      </x:c>
      <x:c r="D576" s="63" t="str">
        <x:v>Readiness Label - Packed and Approved</x:v>
      </x:c>
      <x:c r="E576" s="63" t="n">
        <x:v>500</x:v>
      </x:c>
      <x:c r="F576" s="63" t="n">
        <x:v>500</x:v>
      </x:c>
      <x:c r="G576" s="54" t="str">
        <x:v>FICTIONAL</x:v>
      </x:c>
      <x:c r="H576" s="54" t="str">
        <x:v>QAR-0001 &gt; QAR-0016 &gt; LBL-0019</x:v>
      </x:c>
      <x:c r="I576"/>
    </x:row>
    <x:row r="577">
      <x:c r="A577" s="63" t="n">
        <x:v>2</x:v>
      </x:c>
      <x:c r="B577" s="63" t="str">
        <x:v>QAR-0016</x:v>
      </x:c>
      <x:c r="C577" s="63" t="str">
        <x:v>MAT-0041</x:v>
      </x:c>
      <x:c r="D577" s="63" t="str">
        <x:v>Blank Label Stock Sheet</x:v>
      </x:c>
      <x:c r="E577" s="63" t="n">
        <x:v>100</x:v>
      </x:c>
      <x:c r="F577" s="63" t="n">
        <x:v>100</x:v>
      </x:c>
      <x:c r="G577" s="54" t="str">
        <x:v>FICTIONAL</x:v>
      </x:c>
      <x:c r="H577" s="54" t="str">
        <x:v>QAR-0001 &gt; QAR-0016 &gt; MAT-0041</x:v>
      </x:c>
      <x:c r="I577"/>
    </x:row>
    <x:row r="578">
      <x:c r="A578" s="63" t="n">
        <x:v>2</x:v>
      </x:c>
      <x:c r="B578" s="63" t="str">
        <x:v>QAR-0016</x:v>
      </x:c>
      <x:c r="C578" s="63" t="str">
        <x:v>MAT-0042</x:v>
      </x:c>
      <x:c r="D578" s="63" t="str">
        <x:v>Tamper-Evident Reconstruction Seal</x:v>
      </x:c>
      <x:c r="E578" s="63" t="n">
        <x:v>500</x:v>
      </x:c>
      <x:c r="F578" s="63" t="n">
        <x:v>500</x:v>
      </x:c>
      <x:c r="G578" s="54" t="str">
        <x:v>FICTIONAL</x:v>
      </x:c>
      <x:c r="H578" s="54" t="str">
        <x:v>QAR-0001 &gt; QAR-0016 &gt; MAT-0042</x:v>
      </x:c>
      <x:c r="I578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EXPLODED LEAF TOTALS</x:v>
      </x:c>
      <x:c r="B1" s="3"/>
      <x:c r="C1" s="3"/>
      <x:c r="D1" s="3"/>
      <x:c r="E1" s="3"/>
      <x:c r="F1" s="3"/>
      <x:c r="G1" s="3"/>
      <x:c r="H1"/>
    </x:row>
    <x:row r="2" ht="28" customHeight="1">
      <x:c r="A2" s="6" t="str">
        <x:v>Aggregated quantities after recursively exploding the complete ship BOM</x:v>
      </x:c>
      <x:c r="B2" s="6"/>
      <x:c r="C2" s="6"/>
      <x:c r="D2" s="6"/>
      <x:c r="E2" s="6"/>
      <x:c r="F2" s="6"/>
      <x:c r="G2" s="6"/>
      <x:c r="H2"/>
    </x:row>
    <x:row r="3" ht="25" customHeight="1">
      <x:c r="A3" s="60" t="str">
        <x:v>LocalSKU</x:v>
      </x:c>
      <x:c r="B3" s="61" t="str">
        <x:v>ItemName</x:v>
      </x:c>
      <x:c r="C3" s="61" t="str">
        <x:v>ExplodedQuantity</x:v>
      </x:c>
      <x:c r="D3" s="61" t="str">
        <x:v>StockUOM</x:v>
      </x:c>
      <x:c r="E3" s="61" t="str">
        <x:v>UnitWeightLb</x:v>
      </x:c>
      <x:c r="F3" s="61" t="str">
        <x:v>KnownWeightLb</x:v>
      </x:c>
      <x:c r="G3" s="61" t="str">
        <x:v>HistoricalBasis</x:v>
      </x:c>
      <x:c r="H3"/>
    </x:row>
    <x:row r="4">
      <x:c r="A4" s="54" t="str">
        <x:v>MAT-0029</x:v>
      </x:c>
      <x:c r="B4" s="54" t="str">
        <x:v>Ship's Biscuit, Pound</x:v>
      </x:c>
      <x:c r="C4" s="64" t="n">
        <x:v>9600</x:v>
      </x:c>
      <x:c r="D4" s="64" t="str">
        <x:v>LB</x:v>
      </x:c>
      <x:c r="E4" s="64" t="n">
        <x:v>1</x:v>
      </x:c>
      <x:c r="F4" s="64" t="n">
        <x:v>9600</x:v>
      </x:c>
      <x:c r="G4" s="54" t="str">
        <x:v>RECONSTRUCTED</x:v>
      </x:c>
      <x:c r="H4"/>
    </x:row>
    <x:row r="5">
      <x:c r="A5" s="54" t="str">
        <x:v>MAT-0026</x:v>
      </x:c>
      <x:c r="B5" s="54" t="str">
        <x:v>Potable Water, Gallon</x:v>
      </x:c>
      <x:c r="C5" s="64" t="n">
        <x:v>6150</x:v>
      </x:c>
      <x:c r="D5" s="64" t="str">
        <x:v>GAL</x:v>
      </x:c>
      <x:c r="E5" s="64" t="n">
        <x:v>8.34</x:v>
      </x:c>
      <x:c r="F5" s="64" t="n">
        <x:v>51291</x:v>
      </x:c>
      <x:c r="G5" s="54" t="str">
        <x:v>RECONSTRUCTED</x:v>
      </x:c>
      <x:c r="H5"/>
    </x:row>
    <x:row r="6">
      <x:c r="A6" s="54" t="str">
        <x:v>MAT-0030</x:v>
      </x:c>
      <x:c r="B6" s="54" t="str">
        <x:v>Salt Beef, Pound</x:v>
      </x:c>
      <x:c r="C6" s="64" t="n">
        <x:v>6000</x:v>
      </x:c>
      <x:c r="D6" s="64" t="str">
        <x:v>LB</x:v>
      </x:c>
      <x:c r="E6" s="64" t="n">
        <x:v>1</x:v>
      </x:c>
      <x:c r="F6" s="64" t="n">
        <x:v>6000</x:v>
      </x:c>
      <x:c r="G6" s="54" t="str">
        <x:v>RECONSTRUCTED</x:v>
      </x:c>
      <x:c r="H6"/>
    </x:row>
    <x:row r="7">
      <x:c r="A7" s="54" t="str">
        <x:v>MAT-0008</x:v>
      </x:c>
      <x:c r="B7" s="54" t="str">
        <x:v>Musket Ball</x:v>
      </x:c>
      <x:c r="C7" s="64" t="n">
        <x:v>3600</x:v>
      </x:c>
      <x:c r="D7" s="64" t="str">
        <x:v>EA</x:v>
      </x:c>
      <x:c r="E7" s="64" t="n">
        <x:v>0.08</x:v>
      </x:c>
      <x:c r="F7" s="64" t="n">
        <x:v>288</x:v>
      </x:c>
      <x:c r="G7" s="54" t="str">
        <x:v>RECOVERED</x:v>
      </x:c>
      <x:c r="H7"/>
    </x:row>
    <x:row r="8">
      <x:c r="A8" s="54" t="str">
        <x:v>MAT-0031</x:v>
      </x:c>
      <x:c r="B8" s="54" t="str">
        <x:v>Salt Pork, Pound</x:v>
      </x:c>
      <x:c r="C8" s="64" t="n">
        <x:v>3000</x:v>
      </x:c>
      <x:c r="D8" s="64" t="str">
        <x:v>LB</x:v>
      </x:c>
      <x:c r="E8" s="64" t="n">
        <x:v>1</x:v>
      </x:c>
      <x:c r="F8" s="64" t="n">
        <x:v>3000</x:v>
      </x:c>
      <x:c r="G8" s="54" t="str">
        <x:v>RECONSTRUCTED</x:v>
      </x:c>
      <x:c r="H8"/>
    </x:row>
    <x:row r="9">
      <x:c r="A9" s="54" t="str">
        <x:v>MAT-0004</x:v>
      </x:c>
      <x:c r="B9" s="54" t="str">
        <x:v>Black Powder, Bulk Pound</x:v>
      </x:c>
      <x:c r="C9" s="64" t="n">
        <x:v>2000</x:v>
      </x:c>
      <x:c r="D9" s="64" t="str">
        <x:v>LB</x:v>
      </x:c>
      <x:c r="E9" s="64" t="n">
        <x:v>1</x:v>
      </x:c>
      <x:c r="F9" s="64" t="n">
        <x:v>2000</x:v>
      </x:c>
      <x:c r="G9" s="54" t="str">
        <x:v>RECONSTRUCTED</x:v>
      </x:c>
      <x:c r="H9"/>
    </x:row>
    <x:row r="10">
      <x:c r="A10" s="54" t="str">
        <x:v>MAT-0009</x:v>
      </x:c>
      <x:c r="B10" s="54" t="str">
        <x:v>Pistol Ball</x:v>
      </x:c>
      <x:c r="C10" s="64" t="n">
        <x:v>1800</x:v>
      </x:c>
      <x:c r="D10" s="64" t="str">
        <x:v>EA</x:v>
      </x:c>
      <x:c r="E10" s="64" t="n">
        <x:v>0.05</x:v>
      </x:c>
      <x:c r="F10" s="64" t="n">
        <x:v>90</x:v>
      </x:c>
      <x:c r="G10" s="54" t="str">
        <x:v>RECOVERED</x:v>
      </x:c>
      <x:c r="H10"/>
    </x:row>
    <x:row r="11">
      <x:c r="A11" s="54" t="str">
        <x:v>PRT-0001</x:v>
      </x:c>
      <x:c r="B11" s="54" t="str">
        <x:v>Oak Treenail</x:v>
      </x:c>
      <x:c r="C11" s="64" t="n">
        <x:v>1800</x:v>
      </x:c>
      <x:c r="D11" s="64" t="str">
        <x:v>EA</x:v>
      </x:c>
      <x:c r="E11" s="64" t="n">
        <x:v>0.7</x:v>
      </x:c>
      <x:c r="F11" s="64" t="n">
        <x:v>1260</x:v>
      </x:c>
      <x:c r="G11" s="54" t="str">
        <x:v>RECOVERED</x:v>
      </x:c>
      <x:c r="H11"/>
    </x:row>
    <x:row r="12">
      <x:c r="A12" s="54" t="str">
        <x:v>MAT-0032</x:v>
      </x:c>
      <x:c r="B12" s="54" t="str">
        <x:v>Dried Fish, Pound</x:v>
      </x:c>
      <x:c r="C12" s="64" t="n">
        <x:v>1500</x:v>
      </x:c>
      <x:c r="D12" s="64" t="str">
        <x:v>LB</x:v>
      </x:c>
      <x:c r="E12" s="64" t="n">
        <x:v>1</x:v>
      </x:c>
      <x:c r="F12" s="64" t="n">
        <x:v>1500</x:v>
      </x:c>
      <x:c r="G12" s="54" t="str">
        <x:v>RECONSTRUCTED</x:v>
      </x:c>
      <x:c r="H12"/>
    </x:row>
    <x:row r="13">
      <x:c r="A13" s="54" t="str">
        <x:v>MAT-0033</x:v>
      </x:c>
      <x:c r="B13" s="54" t="str">
        <x:v>Dried Peas, Pound</x:v>
      </x:c>
      <x:c r="C13" s="64" t="n">
        <x:v>1500</x:v>
      </x:c>
      <x:c r="D13" s="64" t="str">
        <x:v>LB</x:v>
      </x:c>
      <x:c r="E13" s="64" t="n">
        <x:v>1</x:v>
      </x:c>
      <x:c r="F13" s="64" t="n">
        <x:v>1500</x:v>
      </x:c>
      <x:c r="G13" s="54" t="str">
        <x:v>RECONSTRUCTED</x:v>
      </x:c>
      <x:c r="H13"/>
    </x:row>
    <x:row r="14">
      <x:c r="A14" s="54" t="str">
        <x:v>MAT-0034</x:v>
      </x:c>
      <x:c r="B14" s="54" t="str">
        <x:v>Oatmeal, Pound</x:v>
      </x:c>
      <x:c r="C14" s="64" t="n">
        <x:v>1500</x:v>
      </x:c>
      <x:c r="D14" s="64" t="str">
        <x:v>LB</x:v>
      </x:c>
      <x:c r="E14" s="64" t="n">
        <x:v>1</x:v>
      </x:c>
      <x:c r="F14" s="64" t="n">
        <x:v>1500</x:v>
      </x:c>
      <x:c r="G14" s="54" t="str">
        <x:v>RECONSTRUCTED</x:v>
      </x:c>
      <x:c r="H14"/>
    </x:row>
    <x:row r="15">
      <x:c r="A15" s="54" t="str">
        <x:v>MAT-0007</x:v>
      </x:c>
      <x:c r="B15" s="54" t="str">
        <x:v>Gunflint</x:v>
      </x:c>
      <x:c r="C15" s="64" t="n">
        <x:v>1200</x:v>
      </x:c>
      <x:c r="D15" s="64" t="str">
        <x:v>EA</x:v>
      </x:c>
      <x:c r="E15" s="64" t="n">
        <x:v>0.05</x:v>
      </x:c>
      <x:c r="F15" s="64" t="n">
        <x:v>60</x:v>
      </x:c>
      <x:c r="G15" s="54" t="str">
        <x:v>RECOVERED</x:v>
      </x:c>
      <x:c r="H15"/>
    </x:row>
    <x:row r="16">
      <x:c r="A16" s="54" t="str">
        <x:v>MAT-0035</x:v>
      </x:c>
      <x:c r="B16" s="54" t="str">
        <x:v>Hard Cheese, Pound</x:v>
      </x:c>
      <x:c r="C16" s="64" t="n">
        <x:v>1000</x:v>
      </x:c>
      <x:c r="D16" s="64" t="str">
        <x:v>LB</x:v>
      </x:c>
      <x:c r="E16" s="64" t="n">
        <x:v>1</x:v>
      </x:c>
      <x:c r="F16" s="64" t="n">
        <x:v>1000</x:v>
      </x:c>
      <x:c r="G16" s="54" t="str">
        <x:v>RECONSTRUCTED</x:v>
      </x:c>
      <x:c r="H16"/>
    </x:row>
    <x:row r="17">
      <x:c r="A17" s="54" t="str">
        <x:v>PRT-0002</x:v>
      </x:c>
      <x:c r="B17" s="54" t="str">
        <x:v>Large Wrought-Iron Hull Spike</x:v>
      </x:c>
      <x:c r="C17" s="64" t="n">
        <x:v>976</x:v>
      </x:c>
      <x:c r="D17" s="64" t="str">
        <x:v>EA</x:v>
      </x:c>
      <x:c r="E17" s="64" t="n">
        <x:v>1.2</x:v>
      </x:c>
      <x:c r="F17" s="64" t="n">
        <x:v>1171.2</x:v>
      </x:c>
      <x:c r="G17" s="54" t="str">
        <x:v>RECOVERED</x:v>
      </x:c>
      <x:c r="H17"/>
    </x:row>
    <x:row r="18">
      <x:c r="A18" s="54" t="str">
        <x:v>MAT-0005</x:v>
      </x:c>
      <x:c r="B18" s="54" t="str">
        <x:v>Six-Pounder Powder Cartridge Bag</x:v>
      </x:c>
      <x:c r="C18" s="64" t="n">
        <x:v>800</x:v>
      </x:c>
      <x:c r="D18" s="64" t="str">
        <x:v>EA</x:v>
      </x:c>
      <x:c r="E18" s="64" t="n">
        <x:v>0.1</x:v>
      </x:c>
      <x:c r="F18" s="64" t="n">
        <x:v>80</x:v>
      </x:c>
      <x:c r="G18" s="54" t="str">
        <x:v>RECONSTRUCTED</x:v>
      </x:c>
      <x:c r="H18"/>
    </x:row>
    <x:row r="19">
      <x:c r="A19" s="54" t="str">
        <x:v>MAT-0006</x:v>
      </x:c>
      <x:c r="B19" s="54" t="str">
        <x:v>Four-Pounder Powder Cartridge Bag</x:v>
      </x:c>
      <x:c r="C19" s="64" t="n">
        <x:v>800</x:v>
      </x:c>
      <x:c r="D19" s="64" t="str">
        <x:v>EA</x:v>
      </x:c>
      <x:c r="E19" s="64" t="n">
        <x:v>0.08</x:v>
      </x:c>
      <x:c r="F19" s="64" t="n">
        <x:v>64</x:v>
      </x:c>
      <x:c r="G19" s="54" t="str">
        <x:v>RECONSTRUCTED</x:v>
      </x:c>
      <x:c r="H19"/>
    </x:row>
    <x:row r="20">
      <x:c r="A20" s="54" t="str">
        <x:v>PRT-0051</x:v>
      </x:c>
      <x:c r="B20" s="54" t="str">
        <x:v>Half-Pound Swivel-Gun Lead Shot</x:v>
      </x:c>
      <x:c r="C20" s="64" t="n">
        <x:v>800</x:v>
      </x:c>
      <x:c r="D20" s="64" t="str">
        <x:v>EA</x:v>
      </x:c>
      <x:c r="E20" s="64" t="n">
        <x:v>0.5</x:v>
      </x:c>
      <x:c r="F20" s="64" t="n">
        <x:v>400</x:v>
      </x:c>
      <x:c r="G20" s="54" t="str">
        <x:v>RECOVERED</x:v>
      </x:c>
      <x:c r="H20"/>
    </x:row>
    <x:row r="21">
      <x:c r="A21" s="54" t="str">
        <x:v>MAT-0027</x:v>
      </x:c>
      <x:c r="B21" s="54" t="str">
        <x:v>Caribbean Rum, Gallon</x:v>
      </x:c>
      <x:c r="C21" s="64" t="n">
        <x:v>750</x:v>
      </x:c>
      <x:c r="D21" s="64" t="str">
        <x:v>GAL</x:v>
      </x:c>
      <x:c r="E21" s="64" t="n">
        <x:v>7.8</x:v>
      </x:c>
      <x:c r="F21" s="64" t="n">
        <x:v>5850</x:v>
      </x:c>
      <x:c r="G21" s="54" t="str">
        <x:v>RECONSTRUCTED</x:v>
      </x:c>
      <x:c r="H21"/>
    </x:row>
    <x:row r="22">
      <x:c r="A22" s="54" t="str">
        <x:v>MAT-0002</x:v>
      </x:c>
      <x:c r="B22" s="54" t="str">
        <x:v>Six-Pounder Cannon Wad</x:v>
      </x:c>
      <x:c r="C22" s="64" t="n">
        <x:v>640</x:v>
      </x:c>
      <x:c r="D22" s="64" t="str">
        <x:v>EA</x:v>
      </x:c>
      <x:c r="E22" s="64" t="n">
        <x:v>0.4</x:v>
      </x:c>
      <x:c r="F22" s="64" t="n">
        <x:v>256</x:v>
      </x:c>
      <x:c r="G22" s="54" t="str">
        <x:v>RECOVERED</x:v>
      </x:c>
      <x:c r="H22"/>
    </x:row>
    <x:row r="23">
      <x:c r="A23" s="54" t="str">
        <x:v>MAT-0003</x:v>
      </x:c>
      <x:c r="B23" s="54" t="str">
        <x:v>Four-Pounder Cannon Wad</x:v>
      </x:c>
      <x:c r="C23" s="64" t="n">
        <x:v>640</x:v>
      </x:c>
      <x:c r="D23" s="64" t="str">
        <x:v>EA</x:v>
      </x:c>
      <x:c r="E23" s="64" t="n">
        <x:v>0.3</x:v>
      </x:c>
      <x:c r="F23" s="64" t="n">
        <x:v>192</x:v>
      </x:c>
      <x:c r="G23" s="54" t="str">
        <x:v>RECOVERED</x:v>
      </x:c>
      <x:c r="H23"/>
    </x:row>
    <x:row r="24">
      <x:c r="A24" s="54" t="str">
        <x:v>PRT-0144</x:v>
      </x:c>
      <x:c r="B24" s="54" t="str">
        <x:v>Pewter Spoon</x:v>
      </x:c>
      <x:c r="C24" s="64" t="n">
        <x:v>606</x:v>
      </x:c>
      <x:c r="D24" s="64" t="str">
        <x:v>EA</x:v>
      </x:c>
      <x:c r="E24" s="64" t="n">
        <x:v>0.2</x:v>
      </x:c>
      <x:c r="F24" s="64" t="n">
        <x:v>121.2</x:v>
      </x:c>
      <x:c r="G24" s="54" t="str">
        <x:v>RECOVERED</x:v>
      </x:c>
      <x:c r="H24"/>
    </x:row>
    <x:row r="25">
      <x:c r="A25" s="54" t="str">
        <x:v>LBL-0014</x:v>
      </x:c>
      <x:c r="B25" s="54" t="str">
        <x:v>General Kit Identification Label</x:v>
      </x:c>
      <x:c r="C25" s="64" t="n">
        <x:v>503</x:v>
      </x:c>
      <x:c r="D25" s="64" t="str">
        <x:v>EA</x:v>
      </x:c>
      <x:c r="E25" s="64"/>
      <x:c r="F25" s="64"/>
      <x:c r="G25" s="54" t="str">
        <x:v>FICTIONAL</x:v>
      </x:c>
      <x:c r="H25"/>
    </x:row>
    <x:row r="26">
      <x:c r="A26" s="54" t="str">
        <x:v>LBL-0015</x:v>
      </x:c>
      <x:c r="B26" s="54" t="str">
        <x:v>Inspection Status Label</x:v>
      </x:c>
      <x:c r="C26" s="64" t="n">
        <x:v>500</x:v>
      </x:c>
      <x:c r="D26" s="64" t="str">
        <x:v>EA</x:v>
      </x:c>
      <x:c r="E26" s="64"/>
      <x:c r="F26" s="64"/>
      <x:c r="G26" s="54" t="str">
        <x:v>FICTIONAL</x:v>
      </x:c>
      <x:c r="H26"/>
    </x:row>
    <x:row r="27">
      <x:c r="A27" s="54" t="str">
        <x:v>LBL-0016</x:v>
      </x:c>
      <x:c r="B27" s="54" t="str">
        <x:v>Stowage Location Label</x:v>
      </x:c>
      <x:c r="C27" s="64" t="n">
        <x:v>500</x:v>
      </x:c>
      <x:c r="D27" s="64" t="str">
        <x:v>EA</x:v>
      </x:c>
      <x:c r="E27" s="64"/>
      <x:c r="F27" s="64"/>
      <x:c r="G27" s="54" t="str">
        <x:v>FICTIONAL</x:v>
      </x:c>
      <x:c r="H27"/>
    </x:row>
    <x:row r="28">
      <x:c r="A28" s="54" t="str">
        <x:v>LBL-0019</x:v>
      </x:c>
      <x:c r="B28" s="54" t="str">
        <x:v>Readiness Label - Packed and Approved</x:v>
      </x:c>
      <x:c r="C28" s="64" t="n">
        <x:v>500</x:v>
      </x:c>
      <x:c r="D28" s="64" t="str">
        <x:v>EA</x:v>
      </x:c>
      <x:c r="E28" s="64"/>
      <x:c r="F28" s="64"/>
      <x:c r="G28" s="54" t="str">
        <x:v>FICTIONAL</x:v>
      </x:c>
      <x:c r="H28"/>
    </x:row>
    <x:row r="29">
      <x:c r="A29" s="54" t="str">
        <x:v>MAT-0001</x:v>
      </x:c>
      <x:c r="B29" s="54" t="str">
        <x:v>Sorted Stone Ballast, 100 lb Lot</x:v>
      </x:c>
      <x:c r="C29" s="64" t="n">
        <x:v>500</x:v>
      </x:c>
      <x:c r="D29" s="64" t="str">
        <x:v>LOT</x:v>
      </x:c>
      <x:c r="E29" s="64" t="n">
        <x:v>100</x:v>
      </x:c>
      <x:c r="F29" s="64" t="n">
        <x:v>50000</x:v>
      </x:c>
      <x:c r="G29" s="54" t="str">
        <x:v>RECOVERED</x:v>
      </x:c>
      <x:c r="H29"/>
    </x:row>
    <x:row r="30">
      <x:c r="A30" s="54" t="str">
        <x:v>MAT-0036</x:v>
      </x:c>
      <x:c r="B30" s="54" t="str">
        <x:v>Salt Butter, Pound</x:v>
      </x:c>
      <x:c r="C30" s="64" t="n">
        <x:v>500</x:v>
      </x:c>
      <x:c r="D30" s="64" t="str">
        <x:v>LB</x:v>
      </x:c>
      <x:c r="E30" s="64" t="n">
        <x:v>1</x:v>
      </x:c>
      <x:c r="F30" s="64" t="n">
        <x:v>500</x:v>
      </x:c>
      <x:c r="G30" s="54" t="str">
        <x:v>RECONSTRUCTED</x:v>
      </x:c>
      <x:c r="H30"/>
    </x:row>
    <x:row r="31">
      <x:c r="A31" s="54" t="str">
        <x:v>MAT-0042</x:v>
      </x:c>
      <x:c r="B31" s="54" t="str">
        <x:v>Tamper-Evident Reconstruction Seal</x:v>
      </x:c>
      <x:c r="C31" s="64" t="n">
        <x:v>500</x:v>
      </x:c>
      <x:c r="D31" s="64" t="str">
        <x:v>EA</x:v>
      </x:c>
      <x:c r="E31" s="64" t="n">
        <x:v>0.01</x:v>
      </x:c>
      <x:c r="F31" s="64" t="n">
        <x:v>5</x:v>
      </x:c>
      <x:c r="G31" s="54" t="str">
        <x:v>FICTIONAL</x:v>
      </x:c>
      <x:c r="H31"/>
    </x:row>
    <x:row r="32">
      <x:c r="A32" s="54" t="str">
        <x:v>PRT-0049</x:v>
      </x:c>
      <x:c r="B32" s="54" t="str">
        <x:v>Six-Pound Round Shot</x:v>
      </x:c>
      <x:c r="C32" s="64" t="n">
        <x:v>480</x:v>
      </x:c>
      <x:c r="D32" s="64" t="str">
        <x:v>EA</x:v>
      </x:c>
      <x:c r="E32" s="64" t="n">
        <x:v>6</x:v>
      </x:c>
      <x:c r="F32" s="64" t="n">
        <x:v>2880</x:v>
      </x:c>
      <x:c r="G32" s="54" t="str">
        <x:v>RECOVERED</x:v>
      </x:c>
      <x:c r="H32"/>
    </x:row>
    <x:row r="33">
      <x:c r="A33" s="54" t="str">
        <x:v>PRT-0050</x:v>
      </x:c>
      <x:c r="B33" s="54" t="str">
        <x:v>Four-Pound Round Shot</x:v>
      </x:c>
      <x:c r="C33" s="64" t="n">
        <x:v>480</x:v>
      </x:c>
      <x:c r="D33" s="64" t="str">
        <x:v>EA</x:v>
      </x:c>
      <x:c r="E33" s="64" t="n">
        <x:v>4</x:v>
      </x:c>
      <x:c r="F33" s="64" t="n">
        <x:v>1920</x:v>
      </x:c>
      <x:c r="G33" s="54" t="str">
        <x:v>RECOVERED</x:v>
      </x:c>
      <x:c r="H33"/>
    </x:row>
    <x:row r="34">
      <x:c r="A34" s="54" t="str">
        <x:v>ASM-0055</x:v>
      </x:c>
      <x:c r="B34" s="54" t="str">
        <x:v>Canvas Sailor's Hammock</x:v>
      </x:c>
      <x:c r="C34" s="64" t="n">
        <x:v>330</x:v>
      </x:c>
      <x:c r="D34" s="64" t="str">
        <x:v>EA</x:v>
      </x:c>
      <x:c r="E34" s="64" t="n">
        <x:v>11</x:v>
      </x:c>
      <x:c r="F34" s="64" t="n">
        <x:v>3630</x:v>
      </x:c>
      <x:c r="G34" s="54" t="str">
        <x:v>RECONSTRUCTED</x:v>
      </x:c>
      <x:c r="H34"/>
    </x:row>
    <x:row r="35">
      <x:c r="A35" s="54" t="str">
        <x:v>KIT-0044</x:v>
      </x:c>
      <x:c r="B35" s="54" t="str">
        <x:v>Hammock Clew and Lashing Set</x:v>
      </x:c>
      <x:c r="C35" s="64" t="n">
        <x:v>330</x:v>
      </x:c>
      <x:c r="D35" s="64" t="str">
        <x:v>EA</x:v>
      </x:c>
      <x:c r="E35" s="64" t="n">
        <x:v>3</x:v>
      </x:c>
      <x:c r="F35" s="64" t="n">
        <x:v>990</x:v>
      </x:c>
      <x:c r="G35" s="54" t="str">
        <x:v>RECONSTRUCTED</x:v>
      </x:c>
      <x:c r="H35"/>
    </x:row>
    <x:row r="36">
      <x:c r="A36" s="54" t="str">
        <x:v>PRT-0151</x:v>
      </x:c>
      <x:c r="B36" s="54" t="str">
        <x:v>Wool Sea Blanket</x:v>
      </x:c>
      <x:c r="C36" s="64" t="n">
        <x:v>330</x:v>
      </x:c>
      <x:c r="D36" s="64" t="str">
        <x:v>EA</x:v>
      </x:c>
      <x:c r="E36" s="64" t="n">
        <x:v>6</x:v>
      </x:c>
      <x:c r="F36" s="64" t="n">
        <x:v>1980</x:v>
      </x:c>
      <x:c r="G36" s="54" t="str">
        <x:v>RECONSTRUCTED</x:v>
      </x:c>
      <x:c r="H36"/>
    </x:row>
    <x:row r="37">
      <x:c r="A37" s="54" t="str">
        <x:v>PRT-0143</x:v>
      </x:c>
      <x:c r="B37" s="54" t="str">
        <x:v>Pewter Bowl</x:v>
      </x:c>
      <x:c r="C37" s="64" t="n">
        <x:v>306</x:v>
      </x:c>
      <x:c r="D37" s="64" t="str">
        <x:v>EA</x:v>
      </x:c>
      <x:c r="E37" s="64" t="n">
        <x:v>1.1</x:v>
      </x:c>
      <x:c r="F37" s="64" t="n">
        <x:v>336.6</x:v>
      </x:c>
      <x:c r="G37" s="54" t="str">
        <x:v>RECOVERED</x:v>
      </x:c>
      <x:c r="H37"/>
    </x:row>
    <x:row r="38">
      <x:c r="A38" s="54" t="str">
        <x:v>KIT-0043</x:v>
      </x:c>
      <x:c r="B38" s="54" t="str">
        <x:v>Basic Clothing Bundle</x:v>
      </x:c>
      <x:c r="C38" s="64" t="n">
        <x:v>300</x:v>
      </x:c>
      <x:c r="D38" s="64" t="str">
        <x:v>EA</x:v>
      </x:c>
      <x:c r="E38" s="64" t="n">
        <x:v>9</x:v>
      </x:c>
      <x:c r="F38" s="64" t="n">
        <x:v>2700</x:v>
      </x:c>
      <x:c r="G38" s="54" t="str">
        <x:v>RECONSTRUCTED</x:v>
      </x:c>
      <x:c r="H38"/>
    </x:row>
    <x:row r="39">
      <x:c r="A39" s="54" t="str">
        <x:v>LBL-0011</x:v>
      </x:c>
      <x:c r="B39" s="54" t="str">
        <x:v>Identity Label - Crew Issue Pack</x:v>
      </x:c>
      <x:c r="C39" s="64" t="n">
        <x:v>300</x:v>
      </x:c>
      <x:c r="D39" s="64" t="str">
        <x:v>EA</x:v>
      </x:c>
      <x:c r="E39" s="64"/>
      <x:c r="F39" s="64"/>
      <x:c r="G39" s="54" t="str">
        <x:v>FICTIONAL</x:v>
      </x:c>
      <x:c r="H39"/>
    </x:row>
    <x:row r="40">
      <x:c r="A40" s="54" t="str">
        <x:v>MAT-0037</x:v>
      </x:c>
      <x:c r="B40" s="54" t="str">
        <x:v>Sea Salt, Pound</x:v>
      </x:c>
      <x:c r="C40" s="64" t="n">
        <x:v>300</x:v>
      </x:c>
      <x:c r="D40" s="64" t="str">
        <x:v>LB</x:v>
      </x:c>
      <x:c r="E40" s="64" t="n">
        <x:v>1</x:v>
      </x:c>
      <x:c r="F40" s="64" t="n">
        <x:v>300</x:v>
      </x:c>
      <x:c r="G40" s="54" t="str">
        <x:v>RECONSTRUCTED</x:v>
      </x:c>
      <x:c r="H40"/>
    </x:row>
    <x:row r="41">
      <x:c r="A41" s="54" t="str">
        <x:v>PKG-0015</x:v>
      </x:c>
      <x:c r="B41" s="54" t="str">
        <x:v>Canvas Sea Bag</x:v>
      </x:c>
      <x:c r="C41" s="64" t="n">
        <x:v>300</x:v>
      </x:c>
      <x:c r="D41" s="64" t="str">
        <x:v>EA</x:v>
      </x:c>
      <x:c r="E41" s="64" t="n">
        <x:v>2</x:v>
      </x:c>
      <x:c r="F41" s="64" t="n">
        <x:v>600</x:v>
      </x:c>
      <x:c r="G41" s="54" t="str">
        <x:v>RECONSTRUCTED</x:v>
      </x:c>
      <x:c r="H41"/>
    </x:row>
    <x:row r="42">
      <x:c r="A42" s="54" t="str">
        <x:v>PRT-0152</x:v>
      </x:c>
      <x:c r="B42" s="54" t="str">
        <x:v>Pewter Drinking Cup</x:v>
      </x:c>
      <x:c r="C42" s="64" t="n">
        <x:v>300</x:v>
      </x:c>
      <x:c r="D42" s="64" t="str">
        <x:v>EA</x:v>
      </x:c>
      <x:c r="E42" s="64" t="n">
        <x:v>0.8</x:v>
      </x:c>
      <x:c r="F42" s="64" t="n">
        <x:v>240</x:v>
      </x:c>
      <x:c r="G42" s="54" t="str">
        <x:v>RECONSTRUCTED</x:v>
      </x:c>
      <x:c r="H42"/>
    </x:row>
    <x:row r="43">
      <x:c r="A43" s="54" t="str">
        <x:v>PRT-0153</x:v>
      </x:c>
      <x:c r="B43" s="54" t="str">
        <x:v>Sailor's Utility Knife</x:v>
      </x:c>
      <x:c r="C43" s="64" t="n">
        <x:v>300</x:v>
      </x:c>
      <x:c r="D43" s="64" t="str">
        <x:v>EA</x:v>
      </x:c>
      <x:c r="E43" s="64" t="n">
        <x:v>0.5</x:v>
      </x:c>
      <x:c r="F43" s="64" t="n">
        <x:v>150</x:v>
      </x:c>
      <x:c r="G43" s="54" t="str">
        <x:v>RECONSTRUCTED</x:v>
      </x:c>
      <x:c r="H43"/>
    </x:row>
    <x:row r="44">
      <x:c r="A44" s="54" t="str">
        <x:v>PRT-0145</x:v>
      </x:c>
      <x:c r="B44" s="54" t="str">
        <x:v>Wooden Drinking Mug</x:v>
      </x:c>
      <x:c r="C44" s="64" t="n">
        <x:v>288</x:v>
      </x:c>
      <x:c r="D44" s="64" t="str">
        <x:v>EA</x:v>
      </x:c>
      <x:c r="E44" s="64" t="n">
        <x:v>0.8</x:v>
      </x:c>
      <x:c r="F44" s="64" t="n">
        <x:v>230.4</x:v>
      </x:c>
      <x:c r="G44" s="54" t="str">
        <x:v>RECONSTRUCTED</x:v>
      </x:c>
      <x:c r="H44"/>
    </x:row>
    <x:row r="45">
      <x:c r="A45" s="54" t="str">
        <x:v>LBL-0009</x:v>
      </x:c>
      <x:c r="B45" s="54" t="str">
        <x:v>Provision Label - Food Lot</x:v>
      </x:c>
      <x:c r="C45" s="64" t="n">
        <x:v>268</x:v>
      </x:c>
      <x:c r="D45" s="64" t="str">
        <x:v>EA</x:v>
      </x:c>
      <x:c r="E45" s="64"/>
      <x:c r="F45" s="64"/>
      <x:c r="G45" s="54" t="str">
        <x:v>FICTIONAL</x:v>
      </x:c>
      <x:c r="H45"/>
    </x:row>
    <x:row r="46">
      <x:c r="A46" s="54" t="str">
        <x:v>PRT-0003</x:v>
      </x:c>
      <x:c r="B46" s="54" t="str">
        <x:v>Iron Drift Pin</x:v>
      </x:c>
      <x:c r="C46" s="64" t="n">
        <x:v>240</x:v>
      </x:c>
      <x:c r="D46" s="64" t="str">
        <x:v>EA</x:v>
      </x:c>
      <x:c r="E46" s="64" t="n">
        <x:v>0.8</x:v>
      </x:c>
      <x:c r="F46" s="64" t="n">
        <x:v>192</x:v>
      </x:c>
      <x:c r="G46" s="54" t="str">
        <x:v>RECOVERED</x:v>
      </x:c>
      <x:c r="H46"/>
    </x:row>
    <x:row r="47">
      <x:c r="A47" s="54" t="str">
        <x:v>PRT-0061</x:v>
      </x:c>
      <x:c r="B47" s="54" t="str">
        <x:v>Personal Firearm Cleaning Tool</x:v>
      </x:c>
      <x:c r="C47" s="64" t="n">
        <x:v>225</x:v>
      </x:c>
      <x:c r="D47" s="64" t="str">
        <x:v>EA</x:v>
      </x:c>
      <x:c r="E47" s="64" t="n">
        <x:v>0.5</x:v>
      </x:c>
      <x:c r="F47" s="64" t="n">
        <x:v>112.5</x:v>
      </x:c>
      <x:c r="G47" s="54" t="str">
        <x:v>RECONSTRUCTED</x:v>
      </x:c>
      <x:c r="H47"/>
    </x:row>
    <x:row r="48">
      <x:c r="A48" s="54" t="str">
        <x:v>PRT-0029</x:v>
      </x:c>
      <x:c r="B48" s="54" t="str">
        <x:v>Gun Carriage Linchpin</x:v>
      </x:c>
      <x:c r="C48" s="64" t="n">
        <x:v>208</x:v>
      </x:c>
      <x:c r="D48" s="64" t="str">
        <x:v>EA</x:v>
      </x:c>
      <x:c r="E48" s="64" t="n">
        <x:v>0.7</x:v>
      </x:c>
      <x:c r="F48" s="64" t="n">
        <x:v>145.6</x:v>
      </x:c>
      <x:c r="G48" s="54" t="str">
        <x:v>RECONSTRUCTED</x:v>
      </x:c>
      <x:c r="H48"/>
    </x:row>
    <x:row r="49">
      <x:c r="A49" s="54" t="str">
        <x:v>LBL-0017</x:v>
      </x:c>
      <x:c r="B49" s="54" t="str">
        <x:v>Safety Label - Keep Dry</x:v>
      </x:c>
      <x:c r="C49" s="64" t="n">
        <x:v>200</x:v>
      </x:c>
      <x:c r="D49" s="64" t="str">
        <x:v>EA</x:v>
      </x:c>
      <x:c r="E49" s="64"/>
      <x:c r="F49" s="64"/>
      <x:c r="G49" s="54" t="str">
        <x:v>FICTIONAL</x:v>
      </x:c>
      <x:c r="H49"/>
    </x:row>
    <x:row r="50">
      <x:c r="A50" s="54" t="str">
        <x:v>PKG-0010</x:v>
      </x:c>
      <x:c r="B50" s="54" t="str">
        <x:v>Oak Provision Barrel, 200 lb Capacity</x:v>
      </x:c>
      <x:c r="C50" s="64" t="n">
        <x:v>156</x:v>
      </x:c>
      <x:c r="D50" s="64" t="str">
        <x:v>EA</x:v>
      </x:c>
      <x:c r="E50" s="64" t="n">
        <x:v>42</x:v>
      </x:c>
      <x:c r="F50" s="64" t="n">
        <x:v>6552</x:v>
      </x:c>
      <x:c r="G50" s="54" t="str">
        <x:v>RECOVERED</x:v>
      </x:c>
      <x:c r="H50"/>
    </x:row>
    <x:row r="51">
      <x:c r="A51" s="54" t="str">
        <x:v>PRT-0048</x:v>
      </x:c>
      <x:c r="B51" s="54" t="str">
        <x:v>Iron Tackle Hook</x:v>
      </x:c>
      <x:c r="C51" s="64" t="n">
        <x:v>152</x:v>
      </x:c>
      <x:c r="D51" s="64" t="str">
        <x:v>EA</x:v>
      </x:c>
      <x:c r="E51" s="64" t="n">
        <x:v>2</x:v>
      </x:c>
      <x:c r="F51" s="64" t="n">
        <x:v>304</x:v>
      </x:c>
      <x:c r="G51" s="54" t="str">
        <x:v>RECONSTRUCTED</x:v>
      </x:c>
      <x:c r="H51"/>
    </x:row>
    <x:row r="52">
      <x:c r="A52" s="54" t="str">
        <x:v>MAT-0038</x:v>
      </x:c>
      <x:c r="B52" s="54" t="str">
        <x:v>Cooking Oil, Gallon</x:v>
      </x:c>
      <x:c r="C52" s="64" t="n">
        <x:v>150</x:v>
      </x:c>
      <x:c r="D52" s="64" t="str">
        <x:v>GAL</x:v>
      </x:c>
      <x:c r="E52" s="64" t="n">
        <x:v>7.6</x:v>
      </x:c>
      <x:c r="F52" s="64" t="n">
        <x:v>1140</x:v>
      </x:c>
      <x:c r="G52" s="54" t="str">
        <x:v>RECONSTRUCTED</x:v>
      </x:c>
      <x:c r="H52"/>
    </x:row>
    <x:row r="53">
      <x:c r="A53" s="54" t="str">
        <x:v>PKG-0004</x:v>
      </x:c>
      <x:c r="B53" s="54" t="str">
        <x:v>Leather Cartridge Box</x:v>
      </x:c>
      <x:c r="C53" s="64" t="n">
        <x:v>150</x:v>
      </x:c>
      <x:c r="D53" s="64" t="str">
        <x:v>EA</x:v>
      </x:c>
      <x:c r="E53" s="64" t="n">
        <x:v>2</x:v>
      </x:c>
      <x:c r="F53" s="64" t="n">
        <x:v>300</x:v>
      </x:c>
      <x:c r="G53" s="54" t="str">
        <x:v>RECONSTRUCTED</x:v>
      </x:c>
      <x:c r="H53"/>
    </x:row>
    <x:row r="54">
      <x:c r="A54" s="54" t="str">
        <x:v>PRT-0056</x:v>
      </x:c>
      <x:c r="B54" s="54" t="str">
        <x:v>Boarding Cutlass</x:v>
      </x:c>
      <x:c r="C54" s="64" t="n">
        <x:v>150</x:v>
      </x:c>
      <x:c r="D54" s="64" t="str">
        <x:v>EA</x:v>
      </x:c>
      <x:c r="E54" s="64" t="n">
        <x:v>3</x:v>
      </x:c>
      <x:c r="F54" s="64" t="n">
        <x:v>450</x:v>
      </x:c>
      <x:c r="G54" s="54" t="str">
        <x:v>RECOVERED</x:v>
      </x:c>
      <x:c r="H54"/>
    </x:row>
    <x:row r="55">
      <x:c r="A55" s="54" t="str">
        <x:v>PRT-0059</x:v>
      </x:c>
      <x:c r="B55" s="54" t="str">
        <x:v>Flintlock Musket</x:v>
      </x:c>
      <x:c r="C55" s="64" t="n">
        <x:v>150</x:v>
      </x:c>
      <x:c r="D55" s="64" t="str">
        <x:v>EA</x:v>
      </x:c>
      <x:c r="E55" s="64" t="n">
        <x:v>10</x:v>
      </x:c>
      <x:c r="F55" s="64" t="n">
        <x:v>1500</x:v>
      </x:c>
      <x:c r="G55" s="54" t="str">
        <x:v>RECOVERED</x:v>
      </x:c>
      <x:c r="H55"/>
    </x:row>
    <x:row r="56">
      <x:c r="A56" s="54" t="str">
        <x:v>PRT-0060</x:v>
      </x:c>
      <x:c r="B56" s="54" t="str">
        <x:v>Flintlock Pistol</x:v>
      </x:c>
      <x:c r="C56" s="64" t="n">
        <x:v>150</x:v>
      </x:c>
      <x:c r="D56" s="64" t="str">
        <x:v>EA</x:v>
      </x:c>
      <x:c r="E56" s="64" t="n">
        <x:v>3</x:v>
      </x:c>
      <x:c r="F56" s="64" t="n">
        <x:v>450</x:v>
      </x:c>
      <x:c r="G56" s="54" t="str">
        <x:v>RECOVERED</x:v>
      </x:c>
      <x:c r="H56"/>
    </x:row>
    <x:row r="57">
      <x:c r="A57" s="54" t="str">
        <x:v>PKG-0009</x:v>
      </x:c>
      <x:c r="B57" s="54" t="str">
        <x:v>Oak Cask, 50 gal Capacity</x:v>
      </x:c>
      <x:c r="C57" s="64" t="n">
        <x:v>138</x:v>
      </x:c>
      <x:c r="D57" s="64" t="str">
        <x:v>EA</x:v>
      </x:c>
      <x:c r="E57" s="64" t="n">
        <x:v>58</x:v>
      </x:c>
      <x:c r="F57" s="64" t="n">
        <x:v>8004</x:v>
      </x:c>
      <x:c r="G57" s="54" t="str">
        <x:v>RECOVERED</x:v>
      </x:c>
      <x:c r="H57"/>
    </x:row>
    <x:row r="58">
      <x:c r="A58" s="54" t="str">
        <x:v>ASM-0014</x:v>
      </x:c>
      <x:c r="B58" s="54" t="str">
        <x:v>Langrage Canister</x:v>
      </x:c>
      <x:c r="C58" s="64" t="n">
        <x:v>128</x:v>
      </x:c>
      <x:c r="D58" s="64" t="str">
        <x:v>EA</x:v>
      </x:c>
      <x:c r="E58" s="64" t="n">
        <x:v>8</x:v>
      </x:c>
      <x:c r="F58" s="64" t="n">
        <x:v>1024</x:v>
      </x:c>
      <x:c r="G58" s="54" t="str">
        <x:v>RECOVERED</x:v>
      </x:c>
      <x:c r="H58"/>
    </x:row>
    <x:row r="59">
      <x:c r="A59" s="54" t="str">
        <x:v>LBL-0007</x:v>
      </x:c>
      <x:c r="B59" s="54" t="str">
        <x:v>Provision Label - Potable Water</x:v>
      </x:c>
      <x:c r="C59" s="64" t="n">
        <x:v>123</x:v>
      </x:c>
      <x:c r="D59" s="64" t="str">
        <x:v>EA</x:v>
      </x:c>
      <x:c r="E59" s="64"/>
      <x:c r="F59" s="64"/>
      <x:c r="G59" s="54" t="str">
        <x:v>FICTIONAL</x:v>
      </x:c>
      <x:c r="H59"/>
    </x:row>
    <x:row r="60">
      <x:c r="A60" s="54" t="str">
        <x:v>MAT-0020</x:v>
      </x:c>
      <x:c r="B60" s="54" t="str">
        <x:v>Linen Bandage Roll</x:v>
      </x:c>
      <x:c r="C60" s="64" t="n">
        <x:v>120</x:v>
      </x:c>
      <x:c r="D60" s="64" t="str">
        <x:v>EA</x:v>
      </x:c>
      <x:c r="E60" s="64" t="n">
        <x:v>0.5</x:v>
      </x:c>
      <x:c r="F60" s="64" t="n">
        <x:v>60</x:v>
      </x:c>
      <x:c r="G60" s="54" t="str">
        <x:v>RECONSTRUCTED</x:v>
      </x:c>
      <x:c r="H60"/>
    </x:row>
    <x:row r="61">
      <x:c r="A61" s="54" t="str">
        <x:v>PRT-0081</x:v>
      </x:c>
      <x:c r="B61" s="54" t="str">
        <x:v>Small Single Block</x:v>
      </x:c>
      <x:c r="C61" s="64" t="n">
        <x:v>120</x:v>
      </x:c>
      <x:c r="D61" s="64" t="str">
        <x:v>EA</x:v>
      </x:c>
      <x:c r="E61" s="64" t="n">
        <x:v>2</x:v>
      </x:c>
      <x:c r="F61" s="64" t="n">
        <x:v>240</x:v>
      </x:c>
      <x:c r="G61" s="54" t="str">
        <x:v>RECONSTRUCTED</x:v>
      </x:c>
      <x:c r="H61"/>
    </x:row>
    <x:row r="62">
      <x:c r="A62" s="54" t="str">
        <x:v>PRT-0146</x:v>
      </x:c>
      <x:c r="B62" s="54" t="str">
        <x:v>Common Mess Knife</x:v>
      </x:c>
      <x:c r="C62" s="64" t="n">
        <x:v>114</x:v>
      </x:c>
      <x:c r="D62" s="64" t="str">
        <x:v>EA</x:v>
      </x:c>
      <x:c r="E62" s="64" t="n">
        <x:v>0.5</x:v>
      </x:c>
      <x:c r="F62" s="64" t="n">
        <x:v>57</x:v>
      </x:c>
      <x:c r="G62" s="54" t="str">
        <x:v>RECONSTRUCTED</x:v>
      </x:c>
      <x:c r="H62"/>
    </x:row>
    <x:row r="63">
      <x:c r="A63" s="54" t="str">
        <x:v>PRT-0004</x:v>
      </x:c>
      <x:c r="B63" s="54" t="str">
        <x:v>Hull Sealing Lead Strip</x:v>
      </x:c>
      <x:c r="C63" s="64" t="n">
        <x:v>104</x:v>
      </x:c>
      <x:c r="D63" s="64" t="str">
        <x:v>EA</x:v>
      </x:c>
      <x:c r="E63" s="64" t="n">
        <x:v>2</x:v>
      </x:c>
      <x:c r="F63" s="64" t="n">
        <x:v>208</x:v>
      </x:c>
      <x:c r="G63" s="54" t="str">
        <x:v>RECOVERED</x:v>
      </x:c>
      <x:c r="H63"/>
    </x:row>
    <x:row r="64">
      <x:c r="A64" s="54" t="str">
        <x:v>LBL-0018</x:v>
      </x:c>
      <x:c r="B64" s="54" t="str">
        <x:v>Safety Label - Incomplete / Do Not Issue</x:v>
      </x:c>
      <x:c r="C64" s="64" t="n">
        <x:v>100</x:v>
      </x:c>
      <x:c r="D64" s="64" t="str">
        <x:v>EA</x:v>
      </x:c>
      <x:c r="E64" s="64"/>
      <x:c r="F64" s="64"/>
      <x:c r="G64" s="54" t="str">
        <x:v>FICTIONAL</x:v>
      </x:c>
      <x:c r="H64"/>
    </x:row>
    <x:row r="65">
      <x:c r="A65" s="54" t="str">
        <x:v>MAT-0028</x:v>
      </x:c>
      <x:c r="B65" s="54" t="str">
        <x:v>Vinegar, Gallon</x:v>
      </x:c>
      <x:c r="C65" s="64" t="n">
        <x:v>100</x:v>
      </x:c>
      <x:c r="D65" s="64" t="str">
        <x:v>GAL</x:v>
      </x:c>
      <x:c r="E65" s="64" t="n">
        <x:v>8.4</x:v>
      </x:c>
      <x:c r="F65" s="64" t="n">
        <x:v>840</x:v>
      </x:c>
      <x:c r="G65" s="54" t="str">
        <x:v>RECONSTRUCTED</x:v>
      </x:c>
      <x:c r="H65"/>
    </x:row>
    <x:row r="66">
      <x:c r="A66" s="54" t="str">
        <x:v>MAT-0041</x:v>
      </x:c>
      <x:c r="B66" s="54" t="str">
        <x:v>Blank Label Stock Sheet</x:v>
      </x:c>
      <x:c r="C66" s="64" t="n">
        <x:v>100</x:v>
      </x:c>
      <x:c r="D66" s="64" t="str">
        <x:v>SHEET</x:v>
      </x:c>
      <x:c r="E66" s="64" t="n">
        <x:v>0.08</x:v>
      </x:c>
      <x:c r="F66" s="64" t="n">
        <x:v>8</x:v>
      </x:c>
      <x:c r="G66" s="54" t="str">
        <x:v>FICTIONAL</x:v>
      </x:c>
      <x:c r="H66"/>
    </x:row>
    <x:row r="67">
      <x:c r="A67" s="54" t="str">
        <x:v>PRT-0057</x:v>
      </x:c>
      <x:c r="B67" s="54" t="str">
        <x:v>Boarding Axe</x:v>
      </x:c>
      <x:c r="C67" s="64" t="n">
        <x:v>100</x:v>
      </x:c>
      <x:c r="D67" s="64" t="str">
        <x:v>EA</x:v>
      </x:c>
      <x:c r="E67" s="64" t="n">
        <x:v>4.5</x:v>
      </x:c>
      <x:c r="F67" s="64" t="n">
        <x:v>450</x:v>
      </x:c>
      <x:c r="G67" s="54" t="str">
        <x:v>RECONSTRUCTED</x:v>
      </x:c>
      <x:c r="H67"/>
    </x:row>
    <x:row r="68">
      <x:c r="A68" s="54" t="str">
        <x:v>PRT-0087</x:v>
      </x:c>
      <x:c r="B68" s="54" t="str">
        <x:v>Rope Thimble</x:v>
      </x:c>
      <x:c r="C68" s="64" t="n">
        <x:v>100</x:v>
      </x:c>
      <x:c r="D68" s="64" t="str">
        <x:v>EA</x:v>
      </x:c>
      <x:c r="E68" s="64" t="n">
        <x:v>1</x:v>
      </x:c>
      <x:c r="F68" s="64" t="n">
        <x:v>100</x:v>
      </x:c>
      <x:c r="G68" s="54" t="str">
        <x:v>RECONSTRUCTED</x:v>
      </x:c>
      <x:c r="H68"/>
    </x:row>
    <x:row r="69">
      <x:c r="A69" s="54" t="str">
        <x:v>PRT-0082</x:v>
      </x:c>
      <x:c r="B69" s="54" t="str">
        <x:v>Medium Single Block</x:v>
      </x:c>
      <x:c r="C69" s="64" t="n">
        <x:v>88</x:v>
      </x:c>
      <x:c r="D69" s="64" t="str">
        <x:v>EA</x:v>
      </x:c>
      <x:c r="E69" s="64" t="n">
        <x:v>5</x:v>
      </x:c>
      <x:c r="F69" s="64" t="n">
        <x:v>440</x:v>
      </x:c>
      <x:c r="G69" s="54" t="str">
        <x:v>RECONSTRUCTED</x:v>
      </x:c>
      <x:c r="H69"/>
    </x:row>
    <x:row r="70">
      <x:c r="A70" s="54" t="str">
        <x:v>LBL-0004</x:v>
      </x:c>
      <x:c r="B70" s="54" t="str">
        <x:v>Safety Label - Black Powder / No Flame</x:v>
      </x:c>
      <x:c r="C70" s="64" t="n">
        <x:v>86</x:v>
      </x:c>
      <x:c r="D70" s="64" t="str">
        <x:v>EA</x:v>
      </x:c>
      <x:c r="E70" s="64"/>
      <x:c r="F70" s="64"/>
      <x:c r="G70" s="54" t="str">
        <x:v>FICTIONAL</x:v>
      </x:c>
      <x:c r="H70"/>
    </x:row>
    <x:row r="71">
      <x:c r="A71" s="54" t="str">
        <x:v>PKG-0002</x:v>
      </x:c>
      <x:c r="B71" s="54" t="str">
        <x:v>Oak Powder Keg, 25 lb Capacity</x:v>
      </x:c>
      <x:c r="C71" s="64" t="n">
        <x:v>80</x:v>
      </x:c>
      <x:c r="D71" s="64" t="str">
        <x:v>EA</x:v>
      </x:c>
      <x:c r="E71" s="64" t="n">
        <x:v>6</x:v>
      </x:c>
      <x:c r="F71" s="64" t="n">
        <x:v>480</x:v>
      </x:c>
      <x:c r="G71" s="54" t="str">
        <x:v>RECOVERED</x:v>
      </x:c>
      <x:c r="H71"/>
    </x:row>
    <x:row r="72">
      <x:c r="A72" s="54" t="str">
        <x:v>PRT-0015</x:v>
      </x:c>
      <x:c r="B72" s="54" t="str">
        <x:v>Iron Ballast Pig, 50 lb</x:v>
      </x:c>
      <x:c r="C72" s="64" t="n">
        <x:v>80</x:v>
      </x:c>
      <x:c r="D72" s="64" t="str">
        <x:v>EA</x:v>
      </x:c>
      <x:c r="E72" s="64" t="n">
        <x:v>50</x:v>
      </x:c>
      <x:c r="F72" s="64" t="n">
        <x:v>4000</x:v>
      </x:c>
      <x:c r="G72" s="54" t="str">
        <x:v>RECONSTRUCTED</x:v>
      </x:c>
      <x:c r="H72"/>
    </x:row>
    <x:row r="73">
      <x:c r="A73" s="54" t="str">
        <x:v>PRT-0045</x:v>
      </x:c>
      <x:c r="B73" s="54" t="str">
        <x:v>Five-Inch Single Block</x:v>
      </x:c>
      <x:c r="C73" s="64" t="n">
        <x:v>80</x:v>
      </x:c>
      <x:c r="D73" s="64" t="str">
        <x:v>EA</x:v>
      </x:c>
      <x:c r="E73" s="64" t="n">
        <x:v>4</x:v>
      </x:c>
      <x:c r="F73" s="64" t="n">
        <x:v>320</x:v>
      </x:c>
      <x:c r="G73" s="54" t="str">
        <x:v>RECONSTRUCTED</x:v>
      </x:c>
      <x:c r="H73"/>
    </x:row>
    <x:row r="74">
      <x:c r="A74" s="54" t="str">
        <x:v>PRT-0070</x:v>
      </x:c>
      <x:c r="B74" s="54" t="str">
        <x:v>Deadeye Lanyard, 50 ft</x:v>
      </x:c>
      <x:c r="C74" s="64" t="n">
        <x:v>80</x:v>
      </x:c>
      <x:c r="D74" s="64" t="str">
        <x:v>EA</x:v>
      </x:c>
      <x:c r="E74" s="64" t="n">
        <x:v>8</x:v>
      </x:c>
      <x:c r="F74" s="64" t="n">
        <x:v>640</x:v>
      </x:c>
      <x:c r="G74" s="54" t="str">
        <x:v>RECONSTRUCTED</x:v>
      </x:c>
      <x:c r="H74"/>
    </x:row>
    <x:row r="75">
      <x:c r="A75" s="54" t="str">
        <x:v>PRT-0120</x:v>
      </x:c>
      <x:c r="B75" s="54" t="str">
        <x:v>Emergency Patch Plank</x:v>
      </x:c>
      <x:c r="C75" s="64" t="n">
        <x:v>78</x:v>
      </x:c>
      <x:c r="D75" s="64" t="str">
        <x:v>EA</x:v>
      </x:c>
      <x:c r="E75" s="64" t="n">
        <x:v>45</x:v>
      </x:c>
      <x:c r="F75" s="64" t="n">
        <x:v>3510</x:v>
      </x:c>
      <x:c r="G75" s="54" t="str">
        <x:v>RECONSTRUCTED</x:v>
      </x:c>
      <x:c r="H75"/>
    </x:row>
    <x:row r="76">
      <x:c r="A76" s="54" t="str">
        <x:v>ASM-0011</x:v>
      </x:c>
      <x:c r="B76" s="54" t="str">
        <x:v>Gun Carriage Capsquare and Key</x:v>
      </x:c>
      <x:c r="C76" s="64" t="n">
        <x:v>76</x:v>
      </x:c>
      <x:c r="D76" s="64" t="str">
        <x:v>EA</x:v>
      </x:c>
      <x:c r="E76" s="64" t="n">
        <x:v>12</x:v>
      </x:c>
      <x:c r="F76" s="64" t="n">
        <x:v>912</x:v>
      </x:c>
      <x:c r="G76" s="54" t="str">
        <x:v>RECONSTRUCTED</x:v>
      </x:c>
      <x:c r="H76"/>
    </x:row>
    <x:row r="77">
      <x:c r="A77" s="54" t="str">
        <x:v>PRT-0086</x:v>
      </x:c>
      <x:c r="B77" s="54" t="str">
        <x:v>Iron Rigging Shackle</x:v>
      </x:c>
      <x:c r="C77" s="64" t="n">
        <x:v>72</x:v>
      </x:c>
      <x:c r="D77" s="64" t="str">
        <x:v>EA</x:v>
      </x:c>
      <x:c r="E77" s="64" t="n">
        <x:v>3</x:v>
      </x:c>
      <x:c r="F77" s="64" t="n">
        <x:v>216</x:v>
      </x:c>
      <x:c r="G77" s="54" t="str">
        <x:v>RECONSTRUCTED</x:v>
      </x:c>
      <x:c r="H77"/>
    </x:row>
    <x:row r="78">
      <x:c r="A78" s="54" t="str">
        <x:v>PKG-0012</x:v>
      </x:c>
      <x:c r="B78" s="54" t="str">
        <x:v>Waxed Provision Sack, 50 lb</x:v>
      </x:c>
      <x:c r="C78" s="64" t="n">
        <x:v>66</x:v>
      </x:c>
      <x:c r="D78" s="64" t="str">
        <x:v>EA</x:v>
      </x:c>
      <x:c r="E78" s="64" t="n">
        <x:v>2</x:v>
      </x:c>
      <x:c r="F78" s="64" t="n">
        <x:v>132</x:v>
      </x:c>
      <x:c r="G78" s="54" t="str">
        <x:v>RECONSTRUCTED</x:v>
      </x:c>
      <x:c r="H78"/>
    </x:row>
    <x:row r="79">
      <x:c r="A79" s="54" t="str">
        <x:v>PRT-0026</x:v>
      </x:c>
      <x:c r="B79" s="54" t="str">
        <x:v>Six-Pounder Carriage Truck Wheel</x:v>
      </x:c>
      <x:c r="C79" s="64" t="n">
        <x:v>64</x:v>
      </x:c>
      <x:c r="D79" s="64" t="str">
        <x:v>EA</x:v>
      </x:c>
      <x:c r="E79" s="64" t="n">
        <x:v>18</x:v>
      </x:c>
      <x:c r="F79" s="64" t="n">
        <x:v>1152</x:v>
      </x:c>
      <x:c r="G79" s="54" t="str">
        <x:v>RECONSTRUCTED</x:v>
      </x:c>
      <x:c r="H79"/>
    </x:row>
    <x:row r="80">
      <x:c r="A80" s="54" t="str">
        <x:v>PRT-0027</x:v>
      </x:c>
      <x:c r="B80" s="54" t="str">
        <x:v>Four-Pounder Carriage Truck Wheel</x:v>
      </x:c>
      <x:c r="C80" s="64" t="n">
        <x:v>64</x:v>
      </x:c>
      <x:c r="D80" s="64" t="str">
        <x:v>EA</x:v>
      </x:c>
      <x:c r="E80" s="64" t="n">
        <x:v>13</x:v>
      </x:c>
      <x:c r="F80" s="64" t="n">
        <x:v>832</x:v>
      </x:c>
      <x:c r="G80" s="54" t="str">
        <x:v>RECONSTRUCTED</x:v>
      </x:c>
      <x:c r="H80"/>
    </x:row>
    <x:row r="81">
      <x:c r="A81" s="54" t="str">
        <x:v>PRT-0028</x:v>
      </x:c>
      <x:c r="B81" s="54" t="str">
        <x:v>Gun Carriage Transom</x:v>
      </x:c>
      <x:c r="C81" s="64" t="n">
        <x:v>64</x:v>
      </x:c>
      <x:c r="D81" s="64" t="str">
        <x:v>EA</x:v>
      </x:c>
      <x:c r="E81" s="64" t="n">
        <x:v>28</x:v>
      </x:c>
      <x:c r="F81" s="64" t="n">
        <x:v>1792</x:v>
      </x:c>
      <x:c r="G81" s="54" t="str">
        <x:v>RECONSTRUCTED</x:v>
      </x:c>
      <x:c r="H81"/>
    </x:row>
    <x:row r="82">
      <x:c r="A82" s="54" t="str">
        <x:v>PRT-0036</x:v>
      </x:c>
      <x:c r="B82" s="54" t="str">
        <x:v>Gunner's Handspike</x:v>
      </x:c>
      <x:c r="C82" s="64" t="n">
        <x:v>64</x:v>
      </x:c>
      <x:c r="D82" s="64" t="str">
        <x:v>EA</x:v>
      </x:c>
      <x:c r="E82" s="64" t="n">
        <x:v>16</x:v>
      </x:c>
      <x:c r="F82" s="64" t="n">
        <x:v>1024</x:v>
      </x:c>
      <x:c r="G82" s="54" t="str">
        <x:v>RECOVERED</x:v>
      </x:c>
      <x:c r="H82"/>
    </x:row>
    <x:row r="83">
      <x:c r="A83" s="54" t="str">
        <x:v>PRT-0046</x:v>
      </x:c>
      <x:c r="B83" s="54" t="str">
        <x:v>Five-Inch Double Block</x:v>
      </x:c>
      <x:c r="C83" s="64" t="n">
        <x:v>64</x:v>
      </x:c>
      <x:c r="D83" s="64" t="str">
        <x:v>EA</x:v>
      </x:c>
      <x:c r="E83" s="64" t="n">
        <x:v>6</x:v>
      </x:c>
      <x:c r="F83" s="64" t="n">
        <x:v>384</x:v>
      </x:c>
      <x:c r="G83" s="54" t="str">
        <x:v>RECONSTRUCTED</x:v>
      </x:c>
      <x:c r="H83"/>
    </x:row>
    <x:row r="84">
      <x:c r="A84" s="54" t="str">
        <x:v>PRT-0047</x:v>
      </x:c>
      <x:c r="B84" s="54" t="str">
        <x:v>Gun Tackle Fall, 30 ft</x:v>
      </x:c>
      <x:c r="C84" s="64" t="n">
        <x:v>64</x:v>
      </x:c>
      <x:c r="D84" s="64" t="str">
        <x:v>EA</x:v>
      </x:c>
      <x:c r="E84" s="64" t="n">
        <x:v>8</x:v>
      </x:c>
      <x:c r="F84" s="64" t="n">
        <x:v>512</x:v>
      </x:c>
      <x:c r="G84" s="54" t="str">
        <x:v>RECONSTRUCTED</x:v>
      </x:c>
      <x:c r="H84"/>
    </x:row>
    <x:row r="85">
      <x:c r="A85" s="54" t="str">
        <x:v>PRT-0052</x:v>
      </x:c>
      <x:c r="B85" s="54" t="str">
        <x:v>Six-Pounder Bar Shot</x:v>
      </x:c>
      <x:c r="C85" s="64" t="n">
        <x:v>64</x:v>
      </x:c>
      <x:c r="D85" s="64" t="str">
        <x:v>EA</x:v>
      </x:c>
      <x:c r="E85" s="64" t="n">
        <x:v>9</x:v>
      </x:c>
      <x:c r="F85" s="64" t="n">
        <x:v>576</x:v>
      </x:c>
      <x:c r="G85" s="54" t="str">
        <x:v>RECOVERED</x:v>
      </x:c>
      <x:c r="H85"/>
    </x:row>
    <x:row r="86">
      <x:c r="A86" s="54" t="str">
        <x:v>PRT-0007</x:v>
      </x:c>
      <x:c r="B86" s="54" t="str">
        <x:v>Wrought-Iron Ring Bolt</x:v>
      </x:c>
      <x:c r="C86" s="64" t="n">
        <x:v>62</x:v>
      </x:c>
      <x:c r="D86" s="64" t="str">
        <x:v>EA</x:v>
      </x:c>
      <x:c r="E86" s="64" t="n">
        <x:v>1.4</x:v>
      </x:c>
      <x:c r="F86" s="64" t="n">
        <x:v>86.8</x:v>
      </x:c>
      <x:c r="G86" s="54" t="str">
        <x:v>RECONSTRUCTED</x:v>
      </x:c>
      <x:c r="H86"/>
    </x:row>
    <x:row r="87">
      <x:c r="A87" s="54" t="str">
        <x:v>PRT-0058</x:v>
      </x:c>
      <x:c r="B87" s="54" t="str">
        <x:v>Boarding Pike</x:v>
      </x:c>
      <x:c r="C87" s="64" t="n">
        <x:v>60</x:v>
      </x:c>
      <x:c r="D87" s="64" t="str">
        <x:v>EA</x:v>
      </x:c>
      <x:c r="E87" s="64" t="n">
        <x:v>8</x:v>
      </x:c>
      <x:c r="F87" s="64" t="n">
        <x:v>480</x:v>
      </x:c>
      <x:c r="G87" s="54" t="str">
        <x:v>RECONSTRUCTED</x:v>
      </x:c>
      <x:c r="H87"/>
    </x:row>
    <x:row r="88">
      <x:c r="A88" s="54" t="str">
        <x:v>PRT-0037</x:v>
      </x:c>
      <x:c r="B88" s="54" t="str">
        <x:v>Lead Touch-Hole Apron</x:v>
      </x:c>
      <x:c r="C88" s="64" t="n">
        <x:v>52</x:v>
      </x:c>
      <x:c r="D88" s="64" t="str">
        <x:v>EA</x:v>
      </x:c>
      <x:c r="E88" s="64" t="n">
        <x:v>2.5</x:v>
      </x:c>
      <x:c r="F88" s="64" t="n">
        <x:v>130</x:v>
      </x:c>
      <x:c r="G88" s="54" t="str">
        <x:v>RECOVERED</x:v>
      </x:c>
      <x:c r="H88"/>
    </x:row>
    <x:row r="89">
      <x:c r="A89" s="54" t="str">
        <x:v>PRT-0068</x:v>
      </x:c>
      <x:c r="B89" s="54" t="str">
        <x:v>Large Deadeye</x:v>
      </x:c>
      <x:c r="C89" s="64" t="n">
        <x:v>48</x:v>
      </x:c>
      <x:c r="D89" s="64" t="str">
        <x:v>EA</x:v>
      </x:c>
      <x:c r="E89" s="64" t="n">
        <x:v>14</x:v>
      </x:c>
      <x:c r="F89" s="64" t="n">
        <x:v>672</x:v>
      </x:c>
      <x:c r="G89" s="54" t="str">
        <x:v>RECONSTRUCTED</x:v>
      </x:c>
      <x:c r="H89"/>
    </x:row>
    <x:row r="90">
      <x:c r="A90" s="54" t="str">
        <x:v>PRT-0119</x:v>
      </x:c>
      <x:c r="B90" s="54" t="str">
        <x:v>Caulking Iron</x:v>
      </x:c>
      <x:c r="C90" s="64" t="n">
        <x:v>48</x:v>
      </x:c>
      <x:c r="D90" s="64" t="str">
        <x:v>EA</x:v>
      </x:c>
      <x:c r="E90" s="64" t="n">
        <x:v>2</x:v>
      </x:c>
      <x:c r="F90" s="64" t="n">
        <x:v>96</x:v>
      </x:c>
      <x:c r="G90" s="54" t="str">
        <x:v>RECONSTRUCTED</x:v>
      </x:c>
      <x:c r="H90"/>
    </x:row>
    <x:row r="91">
      <x:c r="A91" s="54" t="str">
        <x:v>PRT-0124</x:v>
      </x:c>
      <x:c r="B91" s="54" t="str">
        <x:v>Large Sail Needle</x:v>
      </x:c>
      <x:c r="C91" s="64" t="n">
        <x:v>48</x:v>
      </x:c>
      <x:c r="D91" s="64" t="str">
        <x:v>EA</x:v>
      </x:c>
      <x:c r="E91" s="64" t="n">
        <x:v>0.1</x:v>
      </x:c>
      <x:c r="F91" s="64" t="n">
        <x:v>4.800000000000001</x:v>
      </x:c>
      <x:c r="G91" s="54" t="str">
        <x:v>RECOVERED</x:v>
      </x:c>
      <x:c r="H91"/>
    </x:row>
    <x:row r="92">
      <x:c r="A92" s="54" t="str">
        <x:v>MAT-0015</x:v>
      </x:c>
      <x:c r="B92" s="54" t="str">
        <x:v>Marline, 200 ft Coil</x:v>
      </x:c>
      <x:c r="C92" s="64" t="n">
        <x:v>44</x:v>
      </x:c>
      <x:c r="D92" s="64" t="str">
        <x:v>EA</x:v>
      </x:c>
      <x:c r="E92" s="64" t="n">
        <x:v>5</x:v>
      </x:c>
      <x:c r="F92" s="64" t="n">
        <x:v>220</x:v>
      </x:c>
      <x:c r="G92" s="54" t="str">
        <x:v>RECONSTRUCTED</x:v>
      </x:c>
      <x:c r="H92"/>
    </x:row>
    <x:row r="93">
      <x:c r="A93" s="54" t="str">
        <x:v>KIT-0015</x:v>
      </x:c>
      <x:c r="B93" s="54" t="str">
        <x:v>Vent Pick and Priming Wire Set</x:v>
      </x:c>
      <x:c r="C93" s="64" t="n">
        <x:v>40</x:v>
      </x:c>
      <x:c r="D93" s="64" t="str">
        <x:v>EA</x:v>
      </x:c>
      <x:c r="E93" s="64" t="n">
        <x:v>0.5</x:v>
      </x:c>
      <x:c r="F93" s="64" t="n">
        <x:v>20</x:v>
      </x:c>
      <x:c r="G93" s="54" t="str">
        <x:v>RECONSTRUCTED</x:v>
      </x:c>
      <x:c r="H93"/>
    </x:row>
    <x:row r="94">
      <x:c r="A94" s="54" t="str">
        <x:v>MAT-0021</x:v>
      </x:c>
      <x:c r="B94" s="54" t="str">
        <x:v>Linen Lint Pack</x:v>
      </x:c>
      <x:c r="C94" s="64" t="n">
        <x:v>40</x:v>
      </x:c>
      <x:c r="D94" s="64" t="str">
        <x:v>EA</x:v>
      </x:c>
      <x:c r="E94" s="64" t="n">
        <x:v>1</x:v>
      </x:c>
      <x:c r="F94" s="64" t="n">
        <x:v>40</x:v>
      </x:c>
      <x:c r="G94" s="54" t="str">
        <x:v>RECONSTRUCTED</x:v>
      </x:c>
      <x:c r="H94"/>
    </x:row>
    <x:row r="95">
      <x:c r="A95" s="54" t="str">
        <x:v>PRT-0006</x:v>
      </x:c>
      <x:c r="B95" s="54" t="str">
        <x:v>Wrought-Iron Utility Hook</x:v>
      </x:c>
      <x:c r="C95" s="64" t="n">
        <x:v>40</x:v>
      </x:c>
      <x:c r="D95" s="64" t="str">
        <x:v>EA</x:v>
      </x:c>
      <x:c r="E95" s="64" t="n">
        <x:v>1.1</x:v>
      </x:c>
      <x:c r="F95" s="64" t="n">
        <x:v>44</x:v>
      </x:c>
      <x:c r="G95" s="54" t="str">
        <x:v>RECOVERED</x:v>
      </x:c>
      <x:c r="H95"/>
    </x:row>
    <x:row r="96">
      <x:c r="A96" s="54" t="str">
        <x:v>PRT-0016</x:v>
      </x:c>
      <x:c r="B96" s="54" t="str">
        <x:v>Ballast Bedding Mat</x:v>
      </x:c>
      <x:c r="C96" s="64" t="n">
        <x:v>40</x:v>
      </x:c>
      <x:c r="D96" s="64" t="str">
        <x:v>EA</x:v>
      </x:c>
      <x:c r="E96" s="64" t="n">
        <x:v>12</x:v>
      </x:c>
      <x:c r="F96" s="64" t="n">
        <x:v>480</x:v>
      </x:c>
      <x:c r="G96" s="54" t="str">
        <x:v>RECONSTRUCTED</x:v>
      </x:c>
      <x:c r="H96"/>
    </x:row>
    <x:row r="97">
      <x:c r="A97" s="54" t="str">
        <x:v>PRT-0071</x:v>
      </x:c>
      <x:c r="B97" s="54" t="str">
        <x:v>Iron Chainplate</x:v>
      </x:c>
      <x:c r="C97" s="64" t="n">
        <x:v>40</x:v>
      </x:c>
      <x:c r="D97" s="64" t="str">
        <x:v>EA</x:v>
      </x:c>
      <x:c r="E97" s="64" t="n">
        <x:v>18</x:v>
      </x:c>
      <x:c r="F97" s="64" t="n">
        <x:v>720</x:v>
      </x:c>
      <x:c r="G97" s="54" t="str">
        <x:v>RECONSTRUCTED</x:v>
      </x:c>
      <x:c r="H97"/>
    </x:row>
    <x:row r="98">
      <x:c r="A98" s="54" t="str">
        <x:v>PRT-0123</x:v>
      </x:c>
      <x:c r="B98" s="54" t="str">
        <x:v>Spare Oak Plank</x:v>
      </x:c>
      <x:c r="C98" s="64" t="n">
        <x:v>40</x:v>
      </x:c>
      <x:c r="D98" s="64" t="str">
        <x:v>EA</x:v>
      </x:c>
      <x:c r="E98" s="64" t="n">
        <x:v>75</x:v>
      </x:c>
      <x:c r="F98" s="64" t="n">
        <x:v>3000</x:v>
      </x:c>
      <x:c r="G98" s="54" t="str">
        <x:v>RECONSTRUCTED</x:v>
      </x:c>
      <x:c r="H98"/>
    </x:row>
    <x:row r="99">
      <x:c r="A99" s="54" t="str">
        <x:v>ASM-0007</x:v>
      </x:c>
      <x:c r="B99" s="54" t="str">
        <x:v>Bilge Bucket with Rope</x:v>
      </x:c>
      <x:c r="C99" s="64" t="n">
        <x:v>36</x:v>
      </x:c>
      <x:c r="D99" s="64" t="str">
        <x:v>EA</x:v>
      </x:c>
      <x:c r="E99" s="64" t="n">
        <x:v>9</x:v>
      </x:c>
      <x:c r="F99" s="64" t="n">
        <x:v>324</x:v>
      </x:c>
      <x:c r="G99" s="54" t="str">
        <x:v>RECONSTRUCTED</x:v>
      </x:c>
      <x:c r="H99"/>
    </x:row>
    <x:row r="100">
      <x:c r="A100" s="54" t="str">
        <x:v>PRT-0154</x:v>
      </x:c>
      <x:c r="B100" s="54" t="str">
        <x:v>Leather Fire Bucket</x:v>
      </x:c>
      <x:c r="C100" s="64" t="n">
        <x:v>36</x:v>
      </x:c>
      <x:c r="D100" s="64" t="str">
        <x:v>EA</x:v>
      </x:c>
      <x:c r="E100" s="64" t="n">
        <x:v>5</x:v>
      </x:c>
      <x:c r="F100" s="64" t="n">
        <x:v>180</x:v>
      </x:c>
      <x:c r="G100" s="54" t="str">
        <x:v>RECONSTRUCTED</x:v>
      </x:c>
      <x:c r="H100"/>
    </x:row>
    <x:row r="101">
      <x:c r="A101" s="54" t="str">
        <x:v>PRT-0020</x:v>
      </x:c>
      <x:c r="B101" s="54" t="str">
        <x:v>Six-Pounder Carriage Cheek</x:v>
      </x:c>
      <x:c r="C101" s="64" t="n">
        <x:v>32</x:v>
      </x:c>
      <x:c r="D101" s="64" t="str">
        <x:v>EA</x:v>
      </x:c>
      <x:c r="E101" s="64" t="n">
        <x:v>85</x:v>
      </x:c>
      <x:c r="F101" s="64" t="n">
        <x:v>2720</x:v>
      </x:c>
      <x:c r="G101" s="54" t="str">
        <x:v>RECONSTRUCTED</x:v>
      </x:c>
      <x:c r="H101"/>
    </x:row>
    <x:row r="102">
      <x:c r="A102" s="54" t="str">
        <x:v>PRT-0021</x:v>
      </x:c>
      <x:c r="B102" s="54" t="str">
        <x:v>Four-Pounder Carriage Cheek</x:v>
      </x:c>
      <x:c r="C102" s="64" t="n">
        <x:v>32</x:v>
      </x:c>
      <x:c r="D102" s="64" t="str">
        <x:v>EA</x:v>
      </x:c>
      <x:c r="E102" s="64" t="n">
        <x:v>60</x:v>
      </x:c>
      <x:c r="F102" s="64" t="n">
        <x:v>1920</x:v>
      </x:c>
      <x:c r="G102" s="54" t="str">
        <x:v>RECONSTRUCTED</x:v>
      </x:c>
      <x:c r="H102"/>
    </x:row>
    <x:row r="103">
      <x:c r="A103" s="54" t="str">
        <x:v>PRT-0024</x:v>
      </x:c>
      <x:c r="B103" s="54" t="str">
        <x:v>Six-Pounder Carriage Axle</x:v>
      </x:c>
      <x:c r="C103" s="64" t="n">
        <x:v>32</x:v>
      </x:c>
      <x:c r="D103" s="64" t="str">
        <x:v>EA</x:v>
      </x:c>
      <x:c r="E103" s="64" t="n">
        <x:v>45</x:v>
      </x:c>
      <x:c r="F103" s="64" t="n">
        <x:v>1440</x:v>
      </x:c>
      <x:c r="G103" s="54" t="str">
        <x:v>RECONSTRUCTED</x:v>
      </x:c>
      <x:c r="H103"/>
    </x:row>
    <x:row r="104">
      <x:c r="A104" s="54" t="str">
        <x:v>PRT-0025</x:v>
      </x:c>
      <x:c r="B104" s="54" t="str">
        <x:v>Four-Pounder Carriage Axle</x:v>
      </x:c>
      <x:c r="C104" s="64" t="n">
        <x:v>32</x:v>
      </x:c>
      <x:c r="D104" s="64" t="str">
        <x:v>EA</x:v>
      </x:c>
      <x:c r="E104" s="64" t="n">
        <x:v>34</x:v>
      </x:c>
      <x:c r="F104" s="64" t="n">
        <x:v>1088</x:v>
      </x:c>
      <x:c r="G104" s="54" t="str">
        <x:v>RECONSTRUCTED</x:v>
      </x:c>
      <x:c r="H104"/>
    </x:row>
    <x:row r="105">
      <x:c r="A105" s="54" t="str">
        <x:v>PRT-0030</x:v>
      </x:c>
      <x:c r="B105" s="54" t="str">
        <x:v>Gun Elevation Quoin</x:v>
      </x:c>
      <x:c r="C105" s="64" t="n">
        <x:v>32</x:v>
      </x:c>
      <x:c r="D105" s="64" t="str">
        <x:v>EA</x:v>
      </x:c>
      <x:c r="E105" s="64" t="n">
        <x:v>9</x:v>
      </x:c>
      <x:c r="F105" s="64" t="n">
        <x:v>288</x:v>
      </x:c>
      <x:c r="G105" s="54" t="str">
        <x:v>RECONSTRUCTED</x:v>
      </x:c>
      <x:c r="H105"/>
    </x:row>
    <x:row r="106">
      <x:c r="A106" s="54" t="str">
        <x:v>PRT-0031</x:v>
      </x:c>
      <x:c r="B106" s="54" t="str">
        <x:v>Cannon Rammer</x:v>
      </x:c>
      <x:c r="C106" s="64" t="n">
        <x:v>32</x:v>
      </x:c>
      <x:c r="D106" s="64" t="str">
        <x:v>EA</x:v>
      </x:c>
      <x:c r="E106" s="64" t="n">
        <x:v>12</x:v>
      </x:c>
      <x:c r="F106" s="64" t="n">
        <x:v>384</x:v>
      </x:c>
      <x:c r="G106" s="54" t="str">
        <x:v>RECONSTRUCTED</x:v>
      </x:c>
      <x:c r="H106"/>
    </x:row>
    <x:row r="107">
      <x:c r="A107" s="54" t="str">
        <x:v>PRT-0032</x:v>
      </x:c>
      <x:c r="B107" s="54" t="str">
        <x:v>Cannon Sponge</x:v>
      </x:c>
      <x:c r="C107" s="64" t="n">
        <x:v>32</x:v>
      </x:c>
      <x:c r="D107" s="64" t="str">
        <x:v>EA</x:v>
      </x:c>
      <x:c r="E107" s="64" t="n">
        <x:v>10</x:v>
      </x:c>
      <x:c r="F107" s="64" t="n">
        <x:v>320</x:v>
      </x:c>
      <x:c r="G107" s="54" t="str">
        <x:v>RECONSTRUCTED</x:v>
      </x:c>
      <x:c r="H107"/>
    </x:row>
    <x:row r="108">
      <x:c r="A108" s="54" t="str">
        <x:v>PRT-0033</x:v>
      </x:c>
      <x:c r="B108" s="54" t="str">
        <x:v>Cannon Worm</x:v>
      </x:c>
      <x:c r="C108" s="64" t="n">
        <x:v>32</x:v>
      </x:c>
      <x:c r="D108" s="64" t="str">
        <x:v>EA</x:v>
      </x:c>
      <x:c r="E108" s="64" t="n">
        <x:v>8</x:v>
      </x:c>
      <x:c r="F108" s="64" t="n">
        <x:v>256</x:v>
      </x:c>
      <x:c r="G108" s="54" t="str">
        <x:v>RECONSTRUCTED</x:v>
      </x:c>
      <x:c r="H108"/>
    </x:row>
    <x:row r="109">
      <x:c r="A109" s="54" t="str">
        <x:v>PRT-0034</x:v>
      </x:c>
      <x:c r="B109" s="54" t="str">
        <x:v>Powder Ladle</x:v>
      </x:c>
      <x:c r="C109" s="64" t="n">
        <x:v>32</x:v>
      </x:c>
      <x:c r="D109" s="64" t="str">
        <x:v>EA</x:v>
      </x:c>
      <x:c r="E109" s="64" t="n">
        <x:v>5</x:v>
      </x:c>
      <x:c r="F109" s="64" t="n">
        <x:v>160</x:v>
      </x:c>
      <x:c r="G109" s="54" t="str">
        <x:v>RECONSTRUCTED</x:v>
      </x:c>
      <x:c r="H109"/>
    </x:row>
    <x:row r="110">
      <x:c r="A110" s="54" t="str">
        <x:v>PRT-0035</x:v>
      </x:c>
      <x:c r="B110" s="54" t="str">
        <x:v>Slow-Match Linstock</x:v>
      </x:c>
      <x:c r="C110" s="64" t="n">
        <x:v>32</x:v>
      </x:c>
      <x:c r="D110" s="64" t="str">
        <x:v>EA</x:v>
      </x:c>
      <x:c r="E110" s="64" t="n">
        <x:v>7</x:v>
      </x:c>
      <x:c r="F110" s="64" t="n">
        <x:v>224</x:v>
      </x:c>
      <x:c r="G110" s="54" t="str">
        <x:v>RECONSTRUCTED</x:v>
      </x:c>
      <x:c r="H110"/>
    </x:row>
    <x:row r="111">
      <x:c r="A111" s="54" t="str">
        <x:v>PRT-0040</x:v>
      </x:c>
      <x:c r="B111" s="54" t="str">
        <x:v>Gunner's Water Bucket</x:v>
      </x:c>
      <x:c r="C111" s="64" t="n">
        <x:v>32</x:v>
      </x:c>
      <x:c r="D111" s="64" t="str">
        <x:v>EA</x:v>
      </x:c>
      <x:c r="E111" s="64" t="n">
        <x:v>6</x:v>
      </x:c>
      <x:c r="F111" s="64" t="n">
        <x:v>192</x:v>
      </x:c>
      <x:c r="G111" s="54" t="str">
        <x:v>RECONSTRUCTED</x:v>
      </x:c>
      <x:c r="H111"/>
    </x:row>
    <x:row r="112">
      <x:c r="A112" s="54" t="str">
        <x:v>PRT-0069</x:v>
      </x:c>
      <x:c r="B112" s="54" t="str">
        <x:v>Medium Deadeye</x:v>
      </x:c>
      <x:c r="C112" s="64" t="n">
        <x:v>32</x:v>
      </x:c>
      <x:c r="D112" s="64" t="str">
        <x:v>EA</x:v>
      </x:c>
      <x:c r="E112" s="64" t="n">
        <x:v>9</x:v>
      </x:c>
      <x:c r="F112" s="64" t="n">
        <x:v>288</x:v>
      </x:c>
      <x:c r="G112" s="54" t="str">
        <x:v>RECONSTRUCTED</x:v>
      </x:c>
      <x:c r="H112"/>
    </x:row>
    <x:row r="113">
      <x:c r="A113" s="54" t="str">
        <x:v>PRT-0083</x:v>
      </x:c>
      <x:c r="B113" s="54" t="str">
        <x:v>Large Single Block</x:v>
      </x:c>
      <x:c r="C113" s="64" t="n">
        <x:v>32</x:v>
      </x:c>
      <x:c r="D113" s="64" t="str">
        <x:v>EA</x:v>
      </x:c>
      <x:c r="E113" s="64" t="n">
        <x:v>11</x:v>
      </x:c>
      <x:c r="F113" s="64" t="n">
        <x:v>352</x:v>
      </x:c>
      <x:c r="G113" s="54" t="str">
        <x:v>RECONSTRUCTED</x:v>
      </x:c>
      <x:c r="H113"/>
    </x:row>
    <x:row r="114">
      <x:c r="A114" s="54" t="str">
        <x:v>PRT-0084</x:v>
      </x:c>
      <x:c r="B114" s="54" t="str">
        <x:v>Medium Double Block</x:v>
      </x:c>
      <x:c r="C114" s="64" t="n">
        <x:v>32</x:v>
      </x:c>
      <x:c r="D114" s="64" t="str">
        <x:v>EA</x:v>
      </x:c>
      <x:c r="E114" s="64" t="n">
        <x:v>8</x:v>
      </x:c>
      <x:c r="F114" s="64" t="n">
        <x:v>256</x:v>
      </x:c>
      <x:c r="G114" s="54" t="str">
        <x:v>RECONSTRUCTED</x:v>
      </x:c>
      <x:c r="H114"/>
    </x:row>
    <x:row r="115">
      <x:c r="A115" s="54" t="str">
        <x:v>PRT-0132</x:v>
      </x:c>
      <x:c r="B115" s="54" t="str">
        <x:v>Wooden Limb Splint</x:v>
      </x:c>
      <x:c r="C115" s="64" t="n">
        <x:v>32</x:v>
      </x:c>
      <x:c r="D115" s="64" t="str">
        <x:v>EA</x:v>
      </x:c>
      <x:c r="E115" s="64" t="n">
        <x:v>2</x:v>
      </x:c>
      <x:c r="F115" s="64" t="n">
        <x:v>64</x:v>
      </x:c>
      <x:c r="G115" s="54" t="str">
        <x:v>RECONSTRUCTED</x:v>
      </x:c>
      <x:c r="H115"/>
    </x:row>
    <x:row r="116">
      <x:c r="A116" s="54" t="str">
        <x:v>MAT-0016</x:v>
      </x:c>
      <x:c r="B116" s="54" t="str">
        <x:v>One-Inch Rope, 200 ft Coil</x:v>
      </x:c>
      <x:c r="C116" s="64" t="n">
        <x:v>30</x:v>
      </x:c>
      <x:c r="D116" s="64" t="str">
        <x:v>EA</x:v>
      </x:c>
      <x:c r="E116" s="64" t="n">
        <x:v>50</x:v>
      </x:c>
      <x:c r="F116" s="64" t="n">
        <x:v>1500</x:v>
      </x:c>
      <x:c r="G116" s="54" t="str">
        <x:v>RECONSTRUCTED</x:v>
      </x:c>
      <x:c r="H116"/>
    </x:row>
    <x:row r="117">
      <x:c r="A117" s="54" t="str">
        <x:v>PRT-0079</x:v>
      </x:c>
      <x:c r="B117" s="54" t="str">
        <x:v>Buntline, 100 ft</x:v>
      </x:c>
      <x:c r="C117" s="64" t="n">
        <x:v>28</x:v>
      </x:c>
      <x:c r="D117" s="64" t="str">
        <x:v>EA</x:v>
      </x:c>
      <x:c r="E117" s="64" t="n">
        <x:v>10</x:v>
      </x:c>
      <x:c r="F117" s="64" t="n">
        <x:v>280</x:v>
      </x:c>
      <x:c r="G117" s="54" t="str">
        <x:v>RECONSTRUCTED</x:v>
      </x:c>
      <x:c r="H117"/>
    </x:row>
    <x:row r="118">
      <x:c r="A118" s="54" t="str">
        <x:v>PRT-0127</x:v>
      </x:c>
      <x:c r="B118" s="54" t="str">
        <x:v>Iron Marlinespike</x:v>
      </x:c>
      <x:c r="C118" s="64" t="n">
        <x:v>28</x:v>
      </x:c>
      <x:c r="D118" s="64" t="str">
        <x:v>EA</x:v>
      </x:c>
      <x:c r="E118" s="64" t="n">
        <x:v>2</x:v>
      </x:c>
      <x:c r="F118" s="64" t="n">
        <x:v>56</x:v>
      </x:c>
      <x:c r="G118" s="54" t="str">
        <x:v>RECONSTRUCTED</x:v>
      </x:c>
      <x:c r="H118"/>
    </x:row>
    <x:row r="119">
      <x:c r="A119" s="54" t="str">
        <x:v>ASM-0019</x:v>
      </x:c>
      <x:c r="B119" s="54" t="str">
        <x:v>Cast-Iron Hand Grenade</x:v>
      </x:c>
      <x:c r="C119" s="64" t="n">
        <x:v>24</x:v>
      </x:c>
      <x:c r="D119" s="64" t="str">
        <x:v>EA</x:v>
      </x:c>
      <x:c r="E119" s="64" t="n">
        <x:v>3</x:v>
      </x:c>
      <x:c r="F119" s="64" t="n">
        <x:v>72</x:v>
      </x:c>
      <x:c r="G119" s="54" t="str">
        <x:v>RECOVERED</x:v>
      </x:c>
      <x:c r="H119"/>
    </x:row>
    <x:row r="120">
      <x:c r="A120" s="54" t="str">
        <x:v>MAT-0012</x:v>
      </x:c>
      <x:c r="B120" s="54" t="str">
        <x:v>Waxed Sail Thread Spool</x:v>
      </x:c>
      <x:c r="C120" s="64" t="n">
        <x:v>24</x:v>
      </x:c>
      <x:c r="D120" s="64" t="str">
        <x:v>EA</x:v>
      </x:c>
      <x:c r="E120" s="64" t="n">
        <x:v>1</x:v>
      </x:c>
      <x:c r="F120" s="64" t="n">
        <x:v>24</x:v>
      </x:c>
      <x:c r="G120" s="54" t="str">
        <x:v>RECONSTRUCTED</x:v>
      </x:c>
      <x:c r="H120"/>
    </x:row>
    <x:row r="121">
      <x:c r="A121" s="54" t="str">
        <x:v>MAT-0013</x:v>
      </x:c>
      <x:c r="B121" s="54" t="str">
        <x:v>Sail Canvas Bolt, 40 yd</x:v>
      </x:c>
      <x:c r="C121" s="64" t="n">
        <x:v>24</x:v>
      </x:c>
      <x:c r="D121" s="64" t="str">
        <x:v>BOLT</x:v>
      </x:c>
      <x:c r="E121" s="64" t="n">
        <x:v>55</x:v>
      </x:c>
      <x:c r="F121" s="64" t="n">
        <x:v>1320</x:v>
      </x:c>
      <x:c r="G121" s="54" t="str">
        <x:v>RECONSTRUCTED</x:v>
      </x:c>
      <x:c r="H121"/>
    </x:row>
    <x:row r="122">
      <x:c r="A122" s="54" t="str">
        <x:v>MAT-0039</x:v>
      </x:c>
      <x:c r="B122" s="54" t="str">
        <x:v>Writing Quill</x:v>
      </x:c>
      <x:c r="C122" s="64" t="n">
        <x:v>24</x:v>
      </x:c>
      <x:c r="D122" s="64" t="str">
        <x:v>EA</x:v>
      </x:c>
      <x:c r="E122" s="64"/>
      <x:c r="F122" s="64"/>
      <x:c r="G122" s="54" t="str">
        <x:v>RECONSTRUCTED</x:v>
      </x:c>
      <x:c r="H122"/>
    </x:row>
    <x:row r="123">
      <x:c r="A123" s="54" t="str">
        <x:v>PKG-0007</x:v>
      </x:c>
      <x:c r="B123" s="54" t="str">
        <x:v>Stoppered Medicine Bottle</x:v>
      </x:c>
      <x:c r="C123" s="64" t="n">
        <x:v>24</x:v>
      </x:c>
      <x:c r="D123" s="64" t="str">
        <x:v>EA</x:v>
      </x:c>
      <x:c r="E123" s="64" t="n">
        <x:v>1</x:v>
      </x:c>
      <x:c r="F123" s="64" t="n">
        <x:v>24</x:v>
      </x:c>
      <x:c r="G123" s="54" t="str">
        <x:v>RECOVERED</x:v>
      </x:c>
      <x:c r="H123"/>
    </x:row>
    <x:row r="124">
      <x:c r="A124" s="54" t="str">
        <x:v>PRT-0038</x:v>
      </x:c>
      <x:c r="B124" s="54" t="str">
        <x:v>Six-Pounder Wooden Tompion</x:v>
      </x:c>
      <x:c r="C124" s="64" t="n">
        <x:v>24</x:v>
      </x:c>
      <x:c r="D124" s="64" t="str">
        <x:v>EA</x:v>
      </x:c>
      <x:c r="E124" s="64" t="n">
        <x:v>2</x:v>
      </x:c>
      <x:c r="F124" s="64" t="n">
        <x:v>48</x:v>
      </x:c>
      <x:c r="G124" s="54" t="str">
        <x:v>RECOVERED</x:v>
      </x:c>
      <x:c r="H124"/>
    </x:row>
    <x:row r="125">
      <x:c r="A125" s="54" t="str">
        <x:v>PRT-0039</x:v>
      </x:c>
      <x:c r="B125" s="54" t="str">
        <x:v>Four-Pounder Wooden Tompion</x:v>
      </x:c>
      <x:c r="C125" s="64" t="n">
        <x:v>24</x:v>
      </x:c>
      <x:c r="D125" s="64" t="str">
        <x:v>EA</x:v>
      </x:c>
      <x:c r="E125" s="64" t="n">
        <x:v>1.5</x:v>
      </x:c>
      <x:c r="F125" s="64" t="n">
        <x:v>36</x:v>
      </x:c>
      <x:c r="G125" s="54" t="str">
        <x:v>RECOVERED</x:v>
      </x:c>
      <x:c r="H125"/>
    </x:row>
    <x:row r="126">
      <x:c r="A126" s="54" t="str">
        <x:v>PRT-0067</x:v>
      </x:c>
      <x:c r="B126" s="54" t="str">
        <x:v>Ratline Cordage, 200 ft Coil</x:v>
      </x:c>
      <x:c r="C126" s="64" t="n">
        <x:v>24</x:v>
      </x:c>
      <x:c r="D126" s="64" t="str">
        <x:v>COIL</x:v>
      </x:c>
      <x:c r="E126" s="64" t="n">
        <x:v>22</x:v>
      </x:c>
      <x:c r="F126" s="64" t="n">
        <x:v>528</x:v>
      </x:c>
      <x:c r="G126" s="54" t="str">
        <x:v>RECONSTRUCTED</x:v>
      </x:c>
      <x:c r="H126"/>
    </x:row>
    <x:row r="127">
      <x:c r="A127" s="54" t="str">
        <x:v>PRT-0133</x:v>
      </x:c>
      <x:c r="B127" s="54" t="str">
        <x:v>Canvas Tourniquet</x:v>
      </x:c>
      <x:c r="C127" s="64" t="n">
        <x:v>24</x:v>
      </x:c>
      <x:c r="D127" s="64" t="str">
        <x:v>EA</x:v>
      </x:c>
      <x:c r="E127" s="64" t="n">
        <x:v>0.4</x:v>
      </x:c>
      <x:c r="F127" s="64" t="n">
        <x:v>9.600000000000001</x:v>
      </x:c>
      <x:c r="G127" s="54" t="str">
        <x:v>RECONSTRUCTED</x:v>
      </x:c>
      <x:c r="H127"/>
    </x:row>
    <x:row r="128">
      <x:c r="A128" s="54" t="str">
        <x:v>MAT-0010</x:v>
      </x:c>
      <x:c r="B128" s="54" t="str">
        <x:v>Oakum Bale, 25 lb</x:v>
      </x:c>
      <x:c r="C128" s="64" t="n">
        <x:v>23</x:v>
      </x:c>
      <x:c r="D128" s="64" t="str">
        <x:v>EA</x:v>
      </x:c>
      <x:c r="E128" s="64" t="n">
        <x:v>25</x:v>
      </x:c>
      <x:c r="F128" s="64" t="n">
        <x:v>575</x:v>
      </x:c>
      <x:c r="G128" s="54" t="str">
        <x:v>RECONSTRUCTED</x:v>
      </x:c>
      <x:c r="H128"/>
    </x:row>
    <x:row r="129">
      <x:c r="A129" s="54" t="str">
        <x:v>ASM-0035</x:v>
      </x:c>
      <x:c r="B129" s="54" t="str">
        <x:v>Enclosed Deck Lantern</x:v>
      </x:c>
      <x:c r="C129" s="64" t="n">
        <x:v>20</x:v>
      </x:c>
      <x:c r="D129" s="64" t="str">
        <x:v>EA</x:v>
      </x:c>
      <x:c r="E129" s="64" t="n">
        <x:v>7</x:v>
      </x:c>
      <x:c r="F129" s="64" t="n">
        <x:v>140</x:v>
      </x:c>
      <x:c r="G129" s="54" t="str">
        <x:v>RECONSTRUCTED</x:v>
      </x:c>
      <x:c r="H129"/>
    </x:row>
    <x:row r="130">
      <x:c r="A130" s="54" t="str">
        <x:v>MAT-0017</x:v>
      </x:c>
      <x:c r="B130" s="54" t="str">
        <x:v>Two-Inch Rope, 200 ft Coil</x:v>
      </x:c>
      <x:c r="C130" s="64" t="n">
        <x:v>20</x:v>
      </x:c>
      <x:c r="D130" s="64" t="str">
        <x:v>EA</x:v>
      </x:c>
      <x:c r="E130" s="64" t="n">
        <x:v>160</x:v>
      </x:c>
      <x:c r="F130" s="64" t="n">
        <x:v>3200</x:v>
      </x:c>
      <x:c r="G130" s="54" t="str">
        <x:v>RECONSTRUCTED</x:v>
      </x:c>
      <x:c r="H130"/>
    </x:row>
    <x:row r="131">
      <x:c r="A131" s="54" t="str">
        <x:v>PKG-0013</x:v>
      </x:c>
      <x:c r="B131" s="54" t="str">
        <x:v>Provision Crate, 50 lb</x:v>
      </x:c>
      <x:c r="C131" s="64" t="n">
        <x:v>20</x:v>
      </x:c>
      <x:c r="D131" s="64" t="str">
        <x:v>EA</x:v>
      </x:c>
      <x:c r="E131" s="64" t="n">
        <x:v>12</x:v>
      </x:c>
      <x:c r="F131" s="64" t="n">
        <x:v>240</x:v>
      </x:c>
      <x:c r="G131" s="54" t="str">
        <x:v>RECONSTRUCTED</x:v>
      </x:c>
      <x:c r="H131"/>
    </x:row>
    <x:row r="132">
      <x:c r="A132" s="54" t="str">
        <x:v>PKG-0014</x:v>
      </x:c>
      <x:c r="B132" s="54" t="str">
        <x:v>Butter Firkin, 25 lb Capacity</x:v>
      </x:c>
      <x:c r="C132" s="64" t="n">
        <x:v>20</x:v>
      </x:c>
      <x:c r="D132" s="64" t="str">
        <x:v>EA</x:v>
      </x:c>
      <x:c r="E132" s="64" t="n">
        <x:v>8</x:v>
      </x:c>
      <x:c r="F132" s="64" t="n">
        <x:v>160</x:v>
      </x:c>
      <x:c r="G132" s="54" t="str">
        <x:v>RECONSTRUCTED</x:v>
      </x:c>
      <x:c r="H132"/>
    </x:row>
    <x:row r="133">
      <x:c r="A133" s="54" t="str">
        <x:v>PRT-0076</x:v>
      </x:c>
      <x:c r="B133" s="54" t="str">
        <x:v>Yard Brace, 150 ft</x:v>
      </x:c>
      <x:c r="C133" s="64" t="n">
        <x:v>20</x:v>
      </x:c>
      <x:c r="D133" s="64" t="str">
        <x:v>EA</x:v>
      </x:c>
      <x:c r="E133" s="64" t="n">
        <x:v>26</x:v>
      </x:c>
      <x:c r="F133" s="64" t="n">
        <x:v>520</x:v>
      </x:c>
      <x:c r="G133" s="54" t="str">
        <x:v>RECONSTRUCTED</x:v>
      </x:c>
      <x:c r="H133"/>
    </x:row>
    <x:row r="134">
      <x:c r="A134" s="54" t="str">
        <x:v>PRT-0078</x:v>
      </x:c>
      <x:c r="B134" s="54" t="str">
        <x:v>Clewline, 100 ft</x:v>
      </x:c>
      <x:c r="C134" s="64" t="n">
        <x:v>20</x:v>
      </x:c>
      <x:c r="D134" s="64" t="str">
        <x:v>EA</x:v>
      </x:c>
      <x:c r="E134" s="64" t="n">
        <x:v>12</x:v>
      </x:c>
      <x:c r="F134" s="64" t="n">
        <x:v>240</x:v>
      </x:c>
      <x:c r="G134" s="54" t="str">
        <x:v>RECONSTRUCTED</x:v>
      </x:c>
      <x:c r="H134"/>
    </x:row>
    <x:row r="135">
      <x:c r="A135" s="54" t="str">
        <x:v>PRT-0126</x:v>
      </x:c>
      <x:c r="B135" s="54" t="str">
        <x:v>Large Rigging Fid</x:v>
      </x:c>
      <x:c r="C135" s="64" t="n">
        <x:v>20</x:v>
      </x:c>
      <x:c r="D135" s="64" t="str">
        <x:v>EA</x:v>
      </x:c>
      <x:c r="E135" s="64" t="n">
        <x:v>4</x:v>
      </x:c>
      <x:c r="F135" s="64" t="n">
        <x:v>80</x:v>
      </x:c>
      <x:c r="G135" s="54" t="str">
        <x:v>RECONSTRUCTED</x:v>
      </x:c>
      <x:c r="H135"/>
    </x:row>
    <x:row r="136">
      <x:c r="A136" s="54" t="str">
        <x:v>PRT-0116</x:v>
      </x:c>
      <x:c r="B136" s="54" t="str">
        <x:v>Claw Hammer</x:v>
      </x:c>
      <x:c r="C136" s="64" t="n">
        <x:v>19</x:v>
      </x:c>
      <x:c r="D136" s="64" t="str">
        <x:v>EA</x:v>
      </x:c>
      <x:c r="E136" s="64" t="n">
        <x:v>3</x:v>
      </x:c>
      <x:c r="F136" s="64" t="n">
        <x:v>57</x:v>
      </x:c>
      <x:c r="G136" s="54" t="str">
        <x:v>RECONSTRUCTED</x:v>
      </x:c>
      <x:c r="H136"/>
    </x:row>
    <x:row r="137">
      <x:c r="A137" s="54" t="str">
        <x:v>PRT-0075</x:v>
      </x:c>
      <x:c r="B137" s="54" t="str">
        <x:v>Medium Sail Sheet, 140 ft</x:v>
      </x:c>
      <x:c r="C137" s="64" t="n">
        <x:v>18</x:v>
      </x:c>
      <x:c r="D137" s="64" t="str">
        <x:v>EA</x:v>
      </x:c>
      <x:c r="E137" s="64" t="n">
        <x:v>28</x:v>
      </x:c>
      <x:c r="F137" s="64" t="n">
        <x:v>504</x:v>
      </x:c>
      <x:c r="G137" s="54" t="str">
        <x:v>RECONSTRUCTED</x:v>
      </x:c>
      <x:c r="H137"/>
    </x:row>
    <x:row r="138">
      <x:c r="A138" s="54" t="str">
        <x:v>PRT-0142</x:v>
      </x:c>
      <x:c r="B138" s="54" t="str">
        <x:v>Pewter Plate</x:v>
      </x:c>
      <x:c r="C138" s="64" t="n">
        <x:v>18</x:v>
      </x:c>
      <x:c r="D138" s="64" t="str">
        <x:v>EA</x:v>
      </x:c>
      <x:c r="E138" s="64" t="n">
        <x:v>1.4</x:v>
      </x:c>
      <x:c r="F138" s="64" t="n">
        <x:v>25.2</x:v>
      </x:c>
      <x:c r="G138" s="54" t="str">
        <x:v>RECOVERED</x:v>
      </x:c>
      <x:c r="H138"/>
    </x:row>
    <x:row r="139">
      <x:c r="A139" s="54" t="str">
        <x:v>PRT-0148</x:v>
      </x:c>
      <x:c r="B139" s="54" t="str">
        <x:v>Officer's Wine Glass</x:v>
      </x:c>
      <x:c r="C139" s="64" t="n">
        <x:v>18</x:v>
      </x:c>
      <x:c r="D139" s="64" t="str">
        <x:v>EA</x:v>
      </x:c>
      <x:c r="E139" s="64" t="n">
        <x:v>0.4</x:v>
      </x:c>
      <x:c r="F139" s="64" t="n">
        <x:v>7.2</x:v>
      </x:c>
      <x:c r="G139" s="54" t="str">
        <x:v>RECOVERED</x:v>
      </x:c>
      <x:c r="H139"/>
    </x:row>
    <x:row r="140">
      <x:c r="A140" s="54" t="str">
        <x:v>ASM-0015</x:v>
      </x:c>
      <x:c r="B140" s="54" t="str">
        <x:v>Six-Pounder Ready-Shot Rack</x:v>
      </x:c>
      <x:c r="C140" s="64" t="n">
        <x:v>16</x:v>
      </x:c>
      <x:c r="D140" s="64" t="str">
        <x:v>EA</x:v>
      </x:c>
      <x:c r="E140" s="64" t="n">
        <x:v>30</x:v>
      </x:c>
      <x:c r="F140" s="64" t="n">
        <x:v>480</x:v>
      </x:c>
      <x:c r="G140" s="54" t="str">
        <x:v>RECONSTRUCTED</x:v>
      </x:c>
      <x:c r="H140"/>
    </x:row>
    <x:row r="141">
      <x:c r="A141" s="54" t="str">
        <x:v>ASM-0016</x:v>
      </x:c>
      <x:c r="B141" s="54" t="str">
        <x:v>Four-Pounder Ready-Shot Rack</x:v>
      </x:c>
      <x:c r="C141" s="64" t="n">
        <x:v>16</x:v>
      </x:c>
      <x:c r="D141" s="64" t="str">
        <x:v>EA</x:v>
      </x:c>
      <x:c r="E141" s="64" t="n">
        <x:v>25</x:v>
      </x:c>
      <x:c r="F141" s="64" t="n">
        <x:v>400</x:v>
      </x:c>
      <x:c r="G141" s="54" t="str">
        <x:v>RECONSTRUCTED</x:v>
      </x:c>
      <x:c r="H141"/>
    </x:row>
    <x:row r="142">
      <x:c r="A142" s="54" t="str">
        <x:v>LBL-0001</x:v>
      </x:c>
      <x:c r="B142" s="54" t="str">
        <x:v>Safety Label - Six-Pounder Station</x:v>
      </x:c>
      <x:c r="C142" s="64" t="n">
        <x:v>16</x:v>
      </x:c>
      <x:c r="D142" s="64" t="str">
        <x:v>EA</x:v>
      </x:c>
      <x:c r="E142" s="64"/>
      <x:c r="F142" s="64"/>
      <x:c r="G142" s="54" t="str">
        <x:v>FICTIONAL</x:v>
      </x:c>
      <x:c r="H142"/>
    </x:row>
    <x:row r="143">
      <x:c r="A143" s="54" t="str">
        <x:v>LBL-0002</x:v>
      </x:c>
      <x:c r="B143" s="54" t="str">
        <x:v>Safety Label - Four-Pounder Station</x:v>
      </x:c>
      <x:c r="C143" s="64" t="n">
        <x:v>16</x:v>
      </x:c>
      <x:c r="D143" s="64" t="str">
        <x:v>EA</x:v>
      </x:c>
      <x:c r="E143" s="64"/>
      <x:c r="F143" s="64"/>
      <x:c r="G143" s="54" t="str">
        <x:v>FICTIONAL</x:v>
      </x:c>
      <x:c r="H143"/>
    </x:row>
    <x:row r="144">
      <x:c r="A144" s="54" t="str">
        <x:v>PRT-0017</x:v>
      </x:c>
      <x:c r="B144" s="54" t="str">
        <x:v>Iron Six-Pounder Cannon Barrel</x:v>
      </x:c>
      <x:c r="C144" s="64" t="n">
        <x:v>16</x:v>
      </x:c>
      <x:c r="D144" s="64" t="str">
        <x:v>EA</x:v>
      </x:c>
      <x:c r="E144" s="64" t="n">
        <x:v>1800</x:v>
      </x:c>
      <x:c r="F144" s="64" t="n">
        <x:v>28800</x:v>
      </x:c>
      <x:c r="G144" s="54" t="str">
        <x:v>RECOVERED</x:v>
      </x:c>
      <x:c r="H144"/>
    </x:row>
    <x:row r="145">
      <x:c r="A145" s="54" t="str">
        <x:v>PRT-0018</x:v>
      </x:c>
      <x:c r="B145" s="54" t="str">
        <x:v>Iron Four-Pounder Cannon Barrel</x:v>
      </x:c>
      <x:c r="C145" s="64" t="n">
        <x:v>16</x:v>
      </x:c>
      <x:c r="D145" s="64" t="str">
        <x:v>EA</x:v>
      </x:c>
      <x:c r="E145" s="64" t="n">
        <x:v>1200</x:v>
      </x:c>
      <x:c r="F145" s="64" t="n">
        <x:v>19200</x:v>
      </x:c>
      <x:c r="G145" s="54" t="str">
        <x:v>RECOVERED</x:v>
      </x:c>
      <x:c r="H145"/>
    </x:row>
    <x:row r="146">
      <x:c r="A146" s="54" t="str">
        <x:v>PRT-0022</x:v>
      </x:c>
      <x:c r="B146" s="54" t="str">
        <x:v>Six-Pounder Carriage Bed</x:v>
      </x:c>
      <x:c r="C146" s="64" t="n">
        <x:v>16</x:v>
      </x:c>
      <x:c r="D146" s="64" t="str">
        <x:v>EA</x:v>
      </x:c>
      <x:c r="E146" s="64" t="n">
        <x:v>95</x:v>
      </x:c>
      <x:c r="F146" s="64" t="n">
        <x:v>1520</x:v>
      </x:c>
      <x:c r="G146" s="54" t="str">
        <x:v>RECONSTRUCTED</x:v>
      </x:c>
      <x:c r="H146"/>
    </x:row>
    <x:row r="147">
      <x:c r="A147" s="54" t="str">
        <x:v>PRT-0023</x:v>
      </x:c>
      <x:c r="B147" s="54" t="str">
        <x:v>Four-Pounder Carriage Bed</x:v>
      </x:c>
      <x:c r="C147" s="64" t="n">
        <x:v>16</x:v>
      </x:c>
      <x:c r="D147" s="64" t="str">
        <x:v>EA</x:v>
      </x:c>
      <x:c r="E147" s="64" t="n">
        <x:v>70</x:v>
      </x:c>
      <x:c r="F147" s="64" t="n">
        <x:v>1120</x:v>
      </x:c>
      <x:c r="G147" s="54" t="str">
        <x:v>RECONSTRUCTED</x:v>
      </x:c>
      <x:c r="H147"/>
    </x:row>
    <x:row r="148">
      <x:c r="A148" s="54" t="str">
        <x:v>PRT-0043</x:v>
      </x:c>
      <x:c r="B148" s="54" t="str">
        <x:v>Six-Pounder Breeching Rope, 24 ft</x:v>
      </x:c>
      <x:c r="C148" s="64" t="n">
        <x:v>16</x:v>
      </x:c>
      <x:c r="D148" s="64" t="str">
        <x:v>EA</x:v>
      </x:c>
      <x:c r="E148" s="64" t="n">
        <x:v>38</x:v>
      </x:c>
      <x:c r="F148" s="64" t="n">
        <x:v>608</x:v>
      </x:c>
      <x:c r="G148" s="54" t="str">
        <x:v>RECONSTRUCTED</x:v>
      </x:c>
      <x:c r="H148"/>
    </x:row>
    <x:row r="149">
      <x:c r="A149" s="54" t="str">
        <x:v>PRT-0044</x:v>
      </x:c>
      <x:c r="B149" s="54" t="str">
        <x:v>Four-Pounder Breeching Rope, 20 ft</x:v>
      </x:c>
      <x:c r="C149" s="64" t="n">
        <x:v>16</x:v>
      </x:c>
      <x:c r="D149" s="64" t="str">
        <x:v>EA</x:v>
      </x:c>
      <x:c r="E149" s="64" t="n">
        <x:v>28</x:v>
      </x:c>
      <x:c r="F149" s="64" t="n">
        <x:v>448</x:v>
      </x:c>
      <x:c r="G149" s="54" t="str">
        <x:v>RECONSTRUCTED</x:v>
      </x:c>
      <x:c r="H149"/>
    </x:row>
    <x:row r="150">
      <x:c r="A150" s="54" t="str">
        <x:v>PRT-0077</x:v>
      </x:c>
      <x:c r="B150" s="54" t="str">
        <x:v>Yard Lift, 120 ft</x:v>
      </x:c>
      <x:c r="C150" s="64" t="n">
        <x:v>16</x:v>
      </x:c>
      <x:c r="D150" s="64" t="str">
        <x:v>EA</x:v>
      </x:c>
      <x:c r="E150" s="64" t="n">
        <x:v>20</x:v>
      </x:c>
      <x:c r="F150" s="64" t="n">
        <x:v>320</x:v>
      </x:c>
      <x:c r="G150" s="54" t="str">
        <x:v>RECONSTRUCTED</x:v>
      </x:c>
      <x:c r="H150"/>
    </x:row>
    <x:row r="151">
      <x:c r="A151" s="54" t="str">
        <x:v>LBL-0008</x:v>
      </x:c>
      <x:c r="B151" s="54" t="str">
        <x:v>Provision Label - Rum / Flammable</x:v>
      </x:c>
      <x:c r="C151" s="64" t="n">
        <x:v>15</x:v>
      </x:c>
      <x:c r="D151" s="64" t="str">
        <x:v>EA</x:v>
      </x:c>
      <x:c r="E151" s="64"/>
      <x:c r="F151" s="64"/>
      <x:c r="G151" s="54" t="str">
        <x:v>FICTIONAL</x:v>
      </x:c>
      <x:c r="H151"/>
    </x:row>
    <x:row r="152">
      <x:c r="A152" s="54" t="str">
        <x:v>PRT-0100</x:v>
      </x:c>
      <x:c r="B152" s="54" t="str">
        <x:v>Boat Oar</x:v>
      </x:c>
      <x:c r="C152" s="64" t="n">
        <x:v>14</x:v>
      </x:c>
      <x:c r="D152" s="64" t="str">
        <x:v>EA</x:v>
      </x:c>
      <x:c r="E152" s="64" t="n">
        <x:v>12</x:v>
      </x:c>
      <x:c r="F152" s="64" t="n">
        <x:v>168</x:v>
      </x:c>
      <x:c r="G152" s="54" t="str">
        <x:v>RECONSTRUCTED</x:v>
      </x:c>
      <x:c r="H152"/>
    </x:row>
    <x:row r="153">
      <x:c r="A153" s="54" t="str">
        <x:v>ASM-0040</x:v>
      </x:c>
      <x:c r="B153" s="54" t="str">
        <x:v>Sick-Bay Hammock</x:v>
      </x:c>
      <x:c r="C153" s="64" t="n">
        <x:v>12</x:v>
      </x:c>
      <x:c r="D153" s="64" t="str">
        <x:v>EA</x:v>
      </x:c>
      <x:c r="E153" s="64" t="n">
        <x:v>14</x:v>
      </x:c>
      <x:c r="F153" s="64" t="n">
        <x:v>168</x:v>
      </x:c>
      <x:c r="G153" s="54" t="str">
        <x:v>RECONSTRUCTED</x:v>
      </x:c>
      <x:c r="H153"/>
    </x:row>
    <x:row r="154">
      <x:c r="A154" s="54" t="str">
        <x:v>LBL-0012</x:v>
      </x:c>
      <x:c r="B154" s="54" t="str">
        <x:v>Safety Label - Fire Station</x:v>
      </x:c>
      <x:c r="C154" s="64" t="n">
        <x:v>12</x:v>
      </x:c>
      <x:c r="D154" s="64" t="str">
        <x:v>EA</x:v>
      </x:c>
      <x:c r="E154" s="64"/>
      <x:c r="F154" s="64"/>
      <x:c r="G154" s="54" t="str">
        <x:v>FICTIONAL</x:v>
      </x:c>
      <x:c r="H154"/>
    </x:row>
    <x:row r="155">
      <x:c r="A155" s="54" t="str">
        <x:v>MAT-0014</x:v>
      </x:c>
      <x:c r="B155" s="54" t="str">
        <x:v>Heavy Canvas Bolt, 30 yd</x:v>
      </x:c>
      <x:c r="C155" s="64" t="n">
        <x:v>12</x:v>
      </x:c>
      <x:c r="D155" s="64" t="str">
        <x:v>BOLT</x:v>
      </x:c>
      <x:c r="E155" s="64" t="n">
        <x:v>68</x:v>
      </x:c>
      <x:c r="F155" s="64" t="n">
        <x:v>816</x:v>
      </x:c>
      <x:c r="G155" s="54" t="str">
        <x:v>RECONSTRUCTED</x:v>
      </x:c>
      <x:c r="H155"/>
    </x:row>
    <x:row r="156">
      <x:c r="A156" s="54" t="str">
        <x:v>MAT-0019</x:v>
      </x:c>
      <x:c r="B156" s="54" t="str">
        <x:v>Stockholm Tar Keg, 25 lb</x:v>
      </x:c>
      <x:c r="C156" s="64" t="n">
        <x:v>12</x:v>
      </x:c>
      <x:c r="D156" s="64" t="str">
        <x:v>EA</x:v>
      </x:c>
      <x:c r="E156" s="64" t="n">
        <x:v>31</x:v>
      </x:c>
      <x:c r="F156" s="64" t="n">
        <x:v>372</x:v>
      </x:c>
      <x:c r="G156" s="54" t="str">
        <x:v>RECONSTRUCTED</x:v>
      </x:c>
      <x:c r="H156"/>
    </x:row>
    <x:row r="157">
      <x:c r="A157" s="54" t="str">
        <x:v>MAT-0040</x:v>
      </x:c>
      <x:c r="B157" s="54" t="str">
        <x:v>Sealing Wax Stick</x:v>
      </x:c>
      <x:c r="C157" s="64" t="n">
        <x:v>12</x:v>
      </x:c>
      <x:c r="D157" s="64" t="str">
        <x:v>EA</x:v>
      </x:c>
      <x:c r="E157" s="64" t="n">
        <x:v>0.1</x:v>
      </x:c>
      <x:c r="F157" s="64" t="n">
        <x:v>1.2000000000000002</x:v>
      </x:c>
      <x:c r="G157" s="54" t="str">
        <x:v>RECONSTRUCTED</x:v>
      </x:c>
      <x:c r="H157"/>
    </x:row>
    <x:row r="158">
      <x:c r="A158" s="54" t="str">
        <x:v>PKG-0003</x:v>
      </x:c>
      <x:c r="B158" s="54" t="str">
        <x:v>Leather-Lined Powder Passing Box</x:v>
      </x:c>
      <x:c r="C158" s="64" t="n">
        <x:v>12</x:v>
      </x:c>
      <x:c r="D158" s="64" t="str">
        <x:v>EA</x:v>
      </x:c>
      <x:c r="E158" s="64" t="n">
        <x:v>8</x:v>
      </x:c>
      <x:c r="F158" s="64" t="n">
        <x:v>96</x:v>
      </x:c>
      <x:c r="G158" s="54" t="str">
        <x:v>RECONSTRUCTED</x:v>
      </x:c>
      <x:c r="H158"/>
    </x:row>
    <x:row r="159">
      <x:c r="A159" s="54" t="str">
        <x:v>PKG-0008</x:v>
      </x:c>
      <x:c r="B159" s="54" t="str">
        <x:v>Glazed Ointment Jar</x:v>
      </x:c>
      <x:c r="C159" s="64" t="n">
        <x:v>12</x:v>
      </x:c>
      <x:c r="D159" s="64" t="str">
        <x:v>EA</x:v>
      </x:c>
      <x:c r="E159" s="64" t="n">
        <x:v>1.5</x:v>
      </x:c>
      <x:c r="F159" s="64" t="n">
        <x:v>18</x:v>
      </x:c>
      <x:c r="G159" s="54" t="str">
        <x:v>RECONSTRUCTED</x:v>
      </x:c>
      <x:c r="H159"/>
    </x:row>
    <x:row r="160">
      <x:c r="A160" s="54" t="str">
        <x:v>PKG-0017</x:v>
      </x:c>
      <x:c r="B160" s="54" t="str">
        <x:v>Emergency Water Breaker, 20 gal</x:v>
      </x:c>
      <x:c r="C160" s="64" t="n">
        <x:v>12</x:v>
      </x:c>
      <x:c r="D160" s="64" t="str">
        <x:v>EA</x:v>
      </x:c>
      <x:c r="E160" s="64" t="n">
        <x:v>25</x:v>
      </x:c>
      <x:c r="F160" s="64" t="n">
        <x:v>300</x:v>
      </x:c>
      <x:c r="G160" s="54" t="str">
        <x:v>RECONSTRUCTED</x:v>
      </x:c>
      <x:c r="H160"/>
    </x:row>
    <x:row r="161">
      <x:c r="A161" s="54" t="str">
        <x:v>PRT-0085</x:v>
      </x:c>
      <x:c r="B161" s="54" t="str">
        <x:v>Large Triple Block</x:v>
      </x:c>
      <x:c r="C161" s="64" t="n">
        <x:v>12</x:v>
      </x:c>
      <x:c r="D161" s="64" t="str">
        <x:v>EA</x:v>
      </x:c>
      <x:c r="E161" s="64" t="n">
        <x:v>16</x:v>
      </x:c>
      <x:c r="F161" s="64" t="n">
        <x:v>192</x:v>
      </x:c>
      <x:c r="G161" s="54" t="str">
        <x:v>RECONSTRUCTED</x:v>
      </x:c>
      <x:c r="H161"/>
    </x:row>
    <x:row r="162">
      <x:c r="A162" s="54" t="str">
        <x:v>PRT-0098</x:v>
      </x:c>
      <x:c r="B162" s="54" t="str">
        <x:v>Heaving Line, 100 ft</x:v>
      </x:c>
      <x:c r="C162" s="64" t="n">
        <x:v>12</x:v>
      </x:c>
      <x:c r="D162" s="64" t="str">
        <x:v>EA</x:v>
      </x:c>
      <x:c r="E162" s="64" t="n">
        <x:v>8</x:v>
      </x:c>
      <x:c r="F162" s="64" t="n">
        <x:v>96</x:v>
      </x:c>
      <x:c r="G162" s="54" t="str">
        <x:v>RECONSTRUCTED</x:v>
      </x:c>
      <x:c r="H162"/>
    </x:row>
    <x:row r="163">
      <x:c r="A163" s="54" t="str">
        <x:v>PRT-0099</x:v>
      </x:c>
      <x:c r="B163" s="54" t="str">
        <x:v>Longboat Oar</x:v>
      </x:c>
      <x:c r="C163" s="64" t="n">
        <x:v>12</x:v>
      </x:c>
      <x:c r="D163" s="64" t="str">
        <x:v>EA</x:v>
      </x:c>
      <x:c r="E163" s="64" t="n">
        <x:v>18</x:v>
      </x:c>
      <x:c r="F163" s="64" t="n">
        <x:v>216</x:v>
      </x:c>
      <x:c r="G163" s="54" t="str">
        <x:v>RECONSTRUCTED</x:v>
      </x:c>
      <x:c r="H163"/>
    </x:row>
    <x:row r="164">
      <x:c r="A164" s="54" t="str">
        <x:v>PRT-0117</x:v>
      </x:c>
      <x:c r="B164" s="54" t="str">
        <x:v>Large Wooden Mallet</x:v>
      </x:c>
      <x:c r="C164" s="64" t="n">
        <x:v>12</x:v>
      </x:c>
      <x:c r="D164" s="64" t="str">
        <x:v>EA</x:v>
      </x:c>
      <x:c r="E164" s="64" t="n">
        <x:v>8</x:v>
      </x:c>
      <x:c r="F164" s="64" t="n">
        <x:v>96</x:v>
      </x:c>
      <x:c r="G164" s="54" t="str">
        <x:v>RECONSTRUCTED</x:v>
      </x:c>
      <x:c r="H164"/>
    </x:row>
    <x:row r="165">
      <x:c r="A165" s="54" t="str">
        <x:v>PRT-0121</x:v>
      </x:c>
      <x:c r="B165" s="54" t="str">
        <x:v>Heavy Collision Canvas, 12 x 12 ft</x:v>
      </x:c>
      <x:c r="C165" s="64" t="n">
        <x:v>12</x:v>
      </x:c>
      <x:c r="D165" s="64" t="str">
        <x:v>EA</x:v>
      </x:c>
      <x:c r="E165" s="64" t="n">
        <x:v>60</x:v>
      </x:c>
      <x:c r="F165" s="64" t="n">
        <x:v>720</x:v>
      </x:c>
      <x:c r="G165" s="54" t="str">
        <x:v>RECONSTRUCTED</x:v>
      </x:c>
      <x:c r="H165"/>
    </x:row>
    <x:row r="166">
      <x:c r="A166" s="54" t="str">
        <x:v>PRT-0125</x:v>
      </x:c>
      <x:c r="B166" s="54" t="str">
        <x:v>Sailmaker's Palm</x:v>
      </x:c>
      <x:c r="C166" s="64" t="n">
        <x:v>12</x:v>
      </x:c>
      <x:c r="D166" s="64" t="str">
        <x:v>EA</x:v>
      </x:c>
      <x:c r="E166" s="64" t="n">
        <x:v>0.4</x:v>
      </x:c>
      <x:c r="F166" s="64" t="n">
        <x:v>4.800000000000001</x:v>
      </x:c>
      <x:c r="G166" s="54" t="str">
        <x:v>RECONSTRUCTED</x:v>
      </x:c>
      <x:c r="H166"/>
    </x:row>
    <x:row r="167">
      <x:c r="A167" s="54" t="str">
        <x:v>PRT-0134</x:v>
      </x:c>
      <x:c r="B167" s="54" t="str">
        <x:v>Sick-Bay Wool Blanket</x:v>
      </x:c>
      <x:c r="C167" s="64" t="n">
        <x:v>12</x:v>
      </x:c>
      <x:c r="D167" s="64" t="str">
        <x:v>EA</x:v>
      </x:c>
      <x:c r="E167" s="64" t="n">
        <x:v>7</x:v>
      </x:c>
      <x:c r="F167" s="64" t="n">
        <x:v>84</x:v>
      </x:c>
      <x:c r="G167" s="54" t="str">
        <x:v>RECONSTRUCTED</x:v>
      </x:c>
      <x:c r="H167"/>
    </x:row>
    <x:row r="168">
      <x:c r="A168" s="54" t="str">
        <x:v>PRT-0150</x:v>
      </x:c>
      <x:c r="B168" s="54" t="str">
        <x:v>Drinking Water Bucket</x:v>
      </x:c>
      <x:c r="C168" s="64" t="n">
        <x:v>12</x:v>
      </x:c>
      <x:c r="D168" s="64" t="str">
        <x:v>EA</x:v>
      </x:c>
      <x:c r="E168" s="64" t="n">
        <x:v>5</x:v>
      </x:c>
      <x:c r="F168" s="64" t="n">
        <x:v>60</x:v>
      </x:c>
      <x:c r="G168" s="54" t="str">
        <x:v>RECONSTRUCTED</x:v>
      </x:c>
      <x:c r="H168"/>
    </x:row>
    <x:row r="169">
      <x:c r="A169" s="54" t="str">
        <x:v>PRT-0155</x:v>
      </x:c>
      <x:c r="B169" s="54" t="str">
        <x:v>Fire Axe</x:v>
      </x:c>
      <x:c r="C169" s="64" t="n">
        <x:v>12</x:v>
      </x:c>
      <x:c r="D169" s="64" t="str">
        <x:v>EA</x:v>
      </x:c>
      <x:c r="E169" s="64" t="n">
        <x:v>7</x:v>
      </x:c>
      <x:c r="F169" s="64" t="n">
        <x:v>84</x:v>
      </x:c>
      <x:c r="G169" s="54" t="str">
        <x:v>RECONSTRUCTED</x:v>
      </x:c>
      <x:c r="H169"/>
    </x:row>
    <x:row r="170">
      <x:c r="A170" s="54" t="str">
        <x:v>PRT-0156</x:v>
      </x:c>
      <x:c r="B170" s="54" t="str">
        <x:v>Heavy Wool Fire Blanket</x:v>
      </x:c>
      <x:c r="C170" s="64" t="n">
        <x:v>12</x:v>
      </x:c>
      <x:c r="D170" s="64" t="str">
        <x:v>EA</x:v>
      </x:c>
      <x:c r="E170" s="64" t="n">
        <x:v>12</x:v>
      </x:c>
      <x:c r="F170" s="64" t="n">
        <x:v>144</x:v>
      </x:c>
      <x:c r="G170" s="54" t="str">
        <x:v>RECONSTRUCTED</x:v>
      </x:c>
      <x:c r="H170"/>
    </x:row>
    <x:row r="171">
      <x:c r="A171" s="54" t="str">
        <x:v>MAT-0011</x:v>
      </x:c>
      <x:c r="B171" s="54" t="str">
        <x:v>Pine Pitch Keg, 25 lb</x:v>
      </x:c>
      <x:c r="C171" s="64" t="n">
        <x:v>11</x:v>
      </x:c>
      <x:c r="D171" s="64" t="str">
        <x:v>EA</x:v>
      </x:c>
      <x:c r="E171" s="64" t="n">
        <x:v>31</x:v>
      </x:c>
      <x:c r="F171" s="64" t="n">
        <x:v>341</x:v>
      </x:c>
      <x:c r="G171" s="54" t="str">
        <x:v>RECONSTRUCTED</x:v>
      </x:c>
      <x:c r="H171"/>
    </x:row>
    <x:row r="172">
      <x:c r="A172" s="54" t="str">
        <x:v>LBL-0005</x:v>
      </x:c>
      <x:c r="B172" s="54" t="str">
        <x:v>Safety Label - Team Lift / Heavy Tackle</x:v>
      </x:c>
      <x:c r="C172" s="64" t="n">
        <x:v>10</x:v>
      </x:c>
      <x:c r="D172" s="64" t="str">
        <x:v>EA</x:v>
      </x:c>
      <x:c r="E172" s="64"/>
      <x:c r="F172" s="64"/>
      <x:c r="G172" s="54" t="str">
        <x:v>FICTIONAL</x:v>
      </x:c>
      <x:c r="H172"/>
    </x:row>
    <x:row r="173">
      <x:c r="A173" s="54" t="str">
        <x:v>MAT-0018</x:v>
      </x:c>
      <x:c r="B173" s="54" t="str">
        <x:v>Three-Inch Rope, 200 ft Coil</x:v>
      </x:c>
      <x:c r="C173" s="64" t="n">
        <x:v>10</x:v>
      </x:c>
      <x:c r="D173" s="64" t="str">
        <x:v>EA</x:v>
      </x:c>
      <x:c r="E173" s="64" t="n">
        <x:v>310</x:v>
      </x:c>
      <x:c r="F173" s="64" t="n">
        <x:v>3100</x:v>
      </x:c>
      <x:c r="G173" s="54" t="str">
        <x:v>RECONSTRUCTED</x:v>
      </x:c>
      <x:c r="H173"/>
    </x:row>
    <x:row r="174">
      <x:c r="A174" s="54" t="str">
        <x:v>PKG-0011</x:v>
      </x:c>
      <x:c r="B174" s="54" t="str">
        <x:v>Oak Cask, 25 gal Capacity</x:v>
      </x:c>
      <x:c r="C174" s="64" t="n">
        <x:v>10</x:v>
      </x:c>
      <x:c r="D174" s="64" t="str">
        <x:v>EA</x:v>
      </x:c>
      <x:c r="E174" s="64" t="n">
        <x:v>38</x:v>
      </x:c>
      <x:c r="F174" s="64" t="n">
        <x:v>380</x:v>
      </x:c>
      <x:c r="G174" s="54" t="str">
        <x:v>RECOVERED</x:v>
      </x:c>
      <x:c r="H174"/>
    </x:row>
    <x:row r="175">
      <x:c r="A175" s="54" t="str">
        <x:v>PRT-0073</x:v>
      </x:c>
      <x:c r="B175" s="54" t="str">
        <x:v>Medium Halyard, 160 ft</x:v>
      </x:c>
      <x:c r="C175" s="64" t="n">
        <x:v>10</x:v>
      </x:c>
      <x:c r="D175" s="64" t="str">
        <x:v>EA</x:v>
      </x:c>
      <x:c r="E175" s="64" t="n">
        <x:v>34</x:v>
      </x:c>
      <x:c r="F175" s="64" t="n">
        <x:v>340</x:v>
      </x:c>
      <x:c r="G175" s="54" t="str">
        <x:v>RECONSTRUCTED</x:v>
      </x:c>
      <x:c r="H175"/>
    </x:row>
    <x:row r="176">
      <x:c r="A176" s="54" t="str">
        <x:v>ASM-0012</x:v>
      </x:c>
      <x:c r="B176" s="54" t="str">
        <x:v>Swivel-Gun Rammer and Sponge</x:v>
      </x:c>
      <x:c r="C176" s="64" t="n">
        <x:v>8</x:v>
      </x:c>
      <x:c r="D176" s="64" t="str">
        <x:v>EA</x:v>
      </x:c>
      <x:c r="E176" s="64" t="n">
        <x:v>4</x:v>
      </x:c>
      <x:c r="F176" s="64" t="n">
        <x:v>32</x:v>
      </x:c>
      <x:c r="G176" s="54" t="str">
        <x:v>RECONSTRUCTED</x:v>
      </x:c>
      <x:c r="H176"/>
    </x:row>
    <x:row r="177">
      <x:c r="A177" s="54" t="str">
        <x:v>ASM-0062</x:v>
      </x:c>
      <x:c r="B177" s="54" t="str">
        <x:v>Fire Sand Tub, Filled</x:v>
      </x:c>
      <x:c r="C177" s="64" t="n">
        <x:v>8</x:v>
      </x:c>
      <x:c r="D177" s="64" t="str">
        <x:v>EA</x:v>
      </x:c>
      <x:c r="E177" s="64" t="n">
        <x:v>95</x:v>
      </x:c>
      <x:c r="F177" s="64" t="n">
        <x:v>760</x:v>
      </x:c>
      <x:c r="G177" s="54" t="str">
        <x:v>RECONSTRUCTED</x:v>
      </x:c>
      <x:c r="H177"/>
    </x:row>
    <x:row r="178">
      <x:c r="A178" s="54" t="str">
        <x:v>KIT-0047</x:v>
      </x:c>
      <x:c r="B178" s="54" t="str">
        <x:v>Tapered Hull Plug Kit</x:v>
      </x:c>
      <x:c r="C178" s="64" t="n">
        <x:v>8</x:v>
      </x:c>
      <x:c r="D178" s="64" t="str">
        <x:v>EA</x:v>
      </x:c>
      <x:c r="E178" s="64" t="n">
        <x:v>45</x:v>
      </x:c>
      <x:c r="F178" s="64" t="n">
        <x:v>360</x:v>
      </x:c>
      <x:c r="G178" s="54" t="str">
        <x:v>RECONSTRUCTED</x:v>
      </x:c>
      <x:c r="H178"/>
    </x:row>
    <x:row r="179">
      <x:c r="A179" s="54" t="str">
        <x:v>LBL-0003</x:v>
      </x:c>
      <x:c r="B179" s="54" t="str">
        <x:v>Safety Label - Swivel-Gun Station</x:v>
      </x:c>
      <x:c r="C179" s="64" t="n">
        <x:v>8</x:v>
      </x:c>
      <x:c r="D179" s="64" t="str">
        <x:v>EA</x:v>
      </x:c>
      <x:c r="E179" s="64"/>
      <x:c r="F179" s="64"/>
      <x:c r="G179" s="54" t="str">
        <x:v>FICTIONAL</x:v>
      </x:c>
      <x:c r="H179"/>
    </x:row>
    <x:row r="180">
      <x:c r="A180" s="54" t="str">
        <x:v>LBL-0013</x:v>
      </x:c>
      <x:c r="B180" s="54" t="str">
        <x:v>Safety Label - Flood Response Kit</x:v>
      </x:c>
      <x:c r="C180" s="64" t="n">
        <x:v>8</x:v>
      </x:c>
      <x:c r="D180" s="64" t="str">
        <x:v>EA</x:v>
      </x:c>
      <x:c r="E180" s="64"/>
      <x:c r="F180" s="64"/>
      <x:c r="G180" s="54" t="str">
        <x:v>FICTIONAL</x:v>
      </x:c>
      <x:c r="H180"/>
    </x:row>
    <x:row r="181">
      <x:c r="A181" s="54" t="str">
        <x:v>PKG-0001</x:v>
      </x:c>
      <x:c r="B181" s="54" t="str">
        <x:v>Swivel Shot Box</x:v>
      </x:c>
      <x:c r="C181" s="64" t="n">
        <x:v>8</x:v>
      </x:c>
      <x:c r="D181" s="64" t="str">
        <x:v>EA</x:v>
      </x:c>
      <x:c r="E181" s="64" t="n">
        <x:v>9</x:v>
      </x:c>
      <x:c r="F181" s="64" t="n">
        <x:v>72</x:v>
      </x:c>
      <x:c r="G181" s="54" t="str">
        <x:v>RECONSTRUCTED</x:v>
      </x:c>
      <x:c r="H181"/>
    </x:row>
    <x:row r="182">
      <x:c r="A182" s="54" t="str">
        <x:v>PRT-0008</x:v>
      </x:c>
      <x:c r="B182" s="54" t="str">
        <x:v>Capstan Bar</x:v>
      </x:c>
      <x:c r="C182" s="64" t="n">
        <x:v>8</x:v>
      </x:c>
      <x:c r="D182" s="64" t="str">
        <x:v>EA</x:v>
      </x:c>
      <x:c r="E182" s="64" t="n">
        <x:v>18</x:v>
      </x:c>
      <x:c r="F182" s="64" t="n">
        <x:v>144</x:v>
      </x:c>
      <x:c r="G182" s="54" t="str">
        <x:v>RECONSTRUCTED</x:v>
      </x:c>
      <x:c r="H182"/>
    </x:row>
    <x:row r="183">
      <x:c r="A183" s="54" t="str">
        <x:v>PRT-0019</x:v>
      </x:c>
      <x:c r="B183" s="54" t="str">
        <x:v>Iron Half-Pounder Swivel Gun</x:v>
      </x:c>
      <x:c r="C183" s="64" t="n">
        <x:v>8</x:v>
      </x:c>
      <x:c r="D183" s="64" t="str">
        <x:v>EA</x:v>
      </x:c>
      <x:c r="E183" s="64" t="n">
        <x:v>145</x:v>
      </x:c>
      <x:c r="F183" s="64" t="n">
        <x:v>1160</x:v>
      </x:c>
      <x:c r="G183" s="54" t="str">
        <x:v>RECOVERED</x:v>
      </x:c>
      <x:c r="H183"/>
    </x:row>
    <x:row r="184">
      <x:c r="A184" s="54" t="str">
        <x:v>PRT-0041</x:v>
      </x:c>
      <x:c r="B184" s="54" t="str">
        <x:v>Iron Swivel Yoke</x:v>
      </x:c>
      <x:c r="C184" s="64" t="n">
        <x:v>8</x:v>
      </x:c>
      <x:c r="D184" s="64" t="str">
        <x:v>EA</x:v>
      </x:c>
      <x:c r="E184" s="64" t="n">
        <x:v>24</x:v>
      </x:c>
      <x:c r="F184" s="64" t="n">
        <x:v>192</x:v>
      </x:c>
      <x:c r="G184" s="54" t="str">
        <x:v>RECOVERED</x:v>
      </x:c>
      <x:c r="H184"/>
    </x:row>
    <x:row r="185">
      <x:c r="A185" s="54" t="str">
        <x:v>PRT-0042</x:v>
      </x:c>
      <x:c r="B185" s="54" t="str">
        <x:v>Iron Swivel Pintle</x:v>
      </x:c>
      <x:c r="C185" s="64" t="n">
        <x:v>8</x:v>
      </x:c>
      <x:c r="D185" s="64" t="str">
        <x:v>EA</x:v>
      </x:c>
      <x:c r="E185" s="64" t="n">
        <x:v>12</x:v>
      </x:c>
      <x:c r="F185" s="64" t="n">
        <x:v>96</x:v>
      </x:c>
      <x:c r="G185" s="54" t="str">
        <x:v>RECOVERED</x:v>
      </x:c>
      <x:c r="H185"/>
    </x:row>
    <x:row r="186">
      <x:c r="A186" s="54" t="str">
        <x:v>PRT-0062</x:v>
      </x:c>
      <x:c r="B186" s="54" t="str">
        <x:v>Lead Bullet Mold</x:v>
      </x:c>
      <x:c r="C186" s="64" t="n">
        <x:v>8</x:v>
      </x:c>
      <x:c r="D186" s="64" t="str">
        <x:v>EA</x:v>
      </x:c>
      <x:c r="E186" s="64" t="n">
        <x:v>1</x:v>
      </x:c>
      <x:c r="F186" s="64" t="n">
        <x:v>8</x:v>
      </x:c>
      <x:c r="G186" s="54" t="str">
        <x:v>RECOVERED</x:v>
      </x:c>
      <x:c r="H186"/>
    </x:row>
    <x:row r="187">
      <x:c r="A187" s="54" t="str">
        <x:v>PRT-0066</x:v>
      </x:c>
      <x:c r="B187" s="54" t="str">
        <x:v>Running Backstay</x:v>
      </x:c>
      <x:c r="C187" s="64" t="n">
        <x:v>8</x:v>
      </x:c>
      <x:c r="D187" s="64" t="str">
        <x:v>EA</x:v>
      </x:c>
      <x:c r="E187" s="64"/>
      <x:c r="F187" s="64"/>
      <x:c r="G187" s="54" t="str">
        <x:v>RECONSTRUCTED</x:v>
      </x:c>
      <x:c r="H187"/>
    </x:row>
    <x:row r="188">
      <x:c r="A188" s="54" t="str">
        <x:v>PRT-0074</x:v>
      </x:c>
      <x:c r="B188" s="54" t="str">
        <x:v>Large Sail Sheet, 180 ft</x:v>
      </x:c>
      <x:c r="C188" s="64" t="n">
        <x:v>8</x:v>
      </x:c>
      <x:c r="D188" s="64" t="str">
        <x:v>EA</x:v>
      </x:c>
      <x:c r="E188" s="64" t="n">
        <x:v>42</x:v>
      </x:c>
      <x:c r="F188" s="64" t="n">
        <x:v>336</x:v>
      </x:c>
      <x:c r="G188" s="54" t="str">
        <x:v>RECONSTRUCTED</x:v>
      </x:c>
      <x:c r="H188"/>
    </x:row>
    <x:row r="189">
      <x:c r="A189" s="54" t="str">
        <x:v>PRT-0080</x:v>
      </x:c>
      <x:c r="B189" s="54" t="str">
        <x:v>Course Tack, 100 ft</x:v>
      </x:c>
      <x:c r="C189" s="64" t="n">
        <x:v>8</x:v>
      </x:c>
      <x:c r="D189" s="64" t="str">
        <x:v>EA</x:v>
      </x:c>
      <x:c r="E189" s="64" t="n">
        <x:v>24</x:v>
      </x:c>
      <x:c r="F189" s="64" t="n">
        <x:v>192</x:v>
      </x:c>
      <x:c r="G189" s="54" t="str">
        <x:v>RECONSTRUCTED</x:v>
      </x:c>
      <x:c r="H189"/>
    </x:row>
    <x:row r="190">
      <x:c r="A190" s="54" t="str">
        <x:v>PRT-0097</x:v>
      </x:c>
      <x:c r="B190" s="54" t="str">
        <x:v>Mooring Hawser, 300 ft</x:v>
      </x:c>
      <x:c r="C190" s="64" t="n">
        <x:v>8</x:v>
      </x:c>
      <x:c r="D190" s="64" t="str">
        <x:v>EA</x:v>
      </x:c>
      <x:c r="E190" s="64" t="n">
        <x:v>280</x:v>
      </x:c>
      <x:c r="F190" s="64" t="n">
        <x:v>2240</x:v>
      </x:c>
      <x:c r="G190" s="54" t="str">
        <x:v>RECONSTRUCTED</x:v>
      </x:c>
      <x:c r="H190"/>
    </x:row>
    <x:row r="191">
      <x:c r="A191" s="54" t="str">
        <x:v>PRT-0122</x:v>
      </x:c>
      <x:c r="B191" s="54" t="str">
        <x:v>Spare Oak Spar Blank</x:v>
      </x:c>
      <x:c r="C191" s="64" t="n">
        <x:v>8</x:v>
      </x:c>
      <x:c r="D191" s="64" t="str">
        <x:v>EA</x:v>
      </x:c>
      <x:c r="E191" s="64" t="n">
        <x:v>220</x:v>
      </x:c>
      <x:c r="F191" s="64" t="n">
        <x:v>1760</x:v>
      </x:c>
      <x:c r="G191" s="54" t="str">
        <x:v>RECONSTRUCTED</x:v>
      </x:c>
      <x:c r="H191"/>
    </x:row>
    <x:row r="192">
      <x:c r="A192" s="54" t="str">
        <x:v>PRT-0128</x:v>
      </x:c>
      <x:c r="B192" s="54" t="str">
        <x:v>Wooden Seam Rubber</x:v>
      </x:c>
      <x:c r="C192" s="64" t="n">
        <x:v>8</x:v>
      </x:c>
      <x:c r="D192" s="64" t="str">
        <x:v>EA</x:v>
      </x:c>
      <x:c r="E192" s="64" t="n">
        <x:v>1</x:v>
      </x:c>
      <x:c r="F192" s="64" t="n">
        <x:v>8</x:v>
      </x:c>
      <x:c r="G192" s="54" t="str">
        <x:v>RECONSTRUCTED</x:v>
      </x:c>
      <x:c r="H192"/>
    </x:row>
    <x:row r="193">
      <x:c r="A193" s="54" t="str">
        <x:v>PRT-0140</x:v>
      </x:c>
      <x:c r="B193" s="54" t="str">
        <x:v>Cook's Knife</x:v>
      </x:c>
      <x:c r="C193" s="64" t="n">
        <x:v>8</x:v>
      </x:c>
      <x:c r="D193" s="64" t="str">
        <x:v>EA</x:v>
      </x:c>
      <x:c r="E193" s="64" t="n">
        <x:v>1.5</x:v>
      </x:c>
      <x:c r="F193" s="64" t="n">
        <x:v>12</x:v>
      </x:c>
      <x:c r="G193" s="54" t="str">
        <x:v>RECONSTRUCTED</x:v>
      </x:c>
      <x:c r="H193"/>
    </x:row>
    <x:row r="194">
      <x:c r="A194" s="54" t="str">
        <x:v>PRT-0149</x:v>
      </x:c>
      <x:c r="B194" s="54" t="str">
        <x:v>Water Cask Dipper</x:v>
      </x:c>
      <x:c r="C194" s="64" t="n">
        <x:v>8</x:v>
      </x:c>
      <x:c r="D194" s="64" t="str">
        <x:v>EA</x:v>
      </x:c>
      <x:c r="E194" s="64" t="n">
        <x:v>2</x:v>
      </x:c>
      <x:c r="F194" s="64" t="n">
        <x:v>16</x:v>
      </x:c>
      <x:c r="G194" s="54" t="str">
        <x:v>RECONSTRUCTED</x:v>
      </x:c>
      <x:c r="H194"/>
    </x:row>
    <x:row r="195">
      <x:c r="A195" s="54" t="str">
        <x:v>LBL-0006</x:v>
      </x:c>
      <x:c r="B195" s="54" t="str">
        <x:v>Safety Label - Medical Chest / Controlled Access</x:v>
      </x:c>
      <x:c r="C195" s="64" t="n">
        <x:v>7</x:v>
      </x:c>
      <x:c r="D195" s="64" t="str">
        <x:v>EA</x:v>
      </x:c>
      <x:c r="E195" s="64"/>
      <x:c r="F195" s="64"/>
      <x:c r="G195" s="54" t="str">
        <x:v>FICTIONAL</x:v>
      </x:c>
      <x:c r="H195"/>
    </x:row>
    <x:row r="196">
      <x:c r="A196" s="54" t="str">
        <x:v>ASM-0004</x:v>
      </x:c>
      <x:c r="B196" s="54" t="str">
        <x:v>Deck Ladder Assembly</x:v>
      </x:c>
      <x:c r="C196" s="64" t="n">
        <x:v>6</x:v>
      </x:c>
      <x:c r="D196" s="64" t="str">
        <x:v>EA</x:v>
      </x:c>
      <x:c r="E196" s="64"/>
      <x:c r="F196" s="64"/>
      <x:c r="G196" s="54" t="str">
        <x:v>RECONSTRUCTED</x:v>
      </x:c>
      <x:c r="H196"/>
    </x:row>
    <x:row r="197">
      <x:c r="A197" s="54" t="str">
        <x:v>ASM-0020</x:v>
      </x:c>
      <x:c r="B197" s="54" t="str">
        <x:v>Main Shroud Pair</x:v>
      </x:c>
      <x:c r="C197" s="64" t="n">
        <x:v>6</x:v>
      </x:c>
      <x:c r="D197" s="64" t="str">
        <x:v>EA</x:v>
      </x:c>
      <x:c r="E197" s="64"/>
      <x:c r="F197" s="64"/>
      <x:c r="G197" s="54" t="str">
        <x:v>RECONSTRUCTED</x:v>
      </x:c>
      <x:c r="H197"/>
    </x:row>
    <x:row r="198">
      <x:c r="A198" s="54" t="str">
        <x:v>ASM-0023</x:v>
      </x:c>
      <x:c r="B198" s="54" t="str">
        <x:v>Anchor Buoy</x:v>
      </x:c>
      <x:c r="C198" s="64" t="n">
        <x:v>6</x:v>
      </x:c>
      <x:c r="D198" s="64" t="str">
        <x:v>EA</x:v>
      </x:c>
      <x:c r="E198" s="64" t="n">
        <x:v>28</x:v>
      </x:c>
      <x:c r="F198" s="64" t="n">
        <x:v>168</x:v>
      </x:c>
      <x:c r="G198" s="54" t="str">
        <x:v>RECONSTRUCTED</x:v>
      </x:c>
      <x:c r="H198"/>
    </x:row>
    <x:row r="199">
      <x:c r="A199" s="54" t="str">
        <x:v>MAT-0025</x:v>
      </x:c>
      <x:c r="B199" s="54" t="str">
        <x:v>Medicinal Vinegar Bottle</x:v>
      </x:c>
      <x:c r="C199" s="64" t="n">
        <x:v>6</x:v>
      </x:c>
      <x:c r="D199" s="64" t="str">
        <x:v>EA</x:v>
      </x:c>
      <x:c r="E199" s="64" t="n">
        <x:v>3</x:v>
      </x:c>
      <x:c r="F199" s="64" t="n">
        <x:v>18</x:v>
      </x:c>
      <x:c r="G199" s="54" t="str">
        <x:v>RECONSTRUCTED</x:v>
      </x:c>
      <x:c r="H199"/>
    </x:row>
    <x:row r="200">
      <x:c r="A200" s="54" t="str">
        <x:v>PRT-0009</x:v>
      </x:c>
      <x:c r="B200" s="54" t="str">
        <x:v>Windlass Handspike</x:v>
      </x:c>
      <x:c r="C200" s="64" t="n">
        <x:v>6</x:v>
      </x:c>
      <x:c r="D200" s="64" t="str">
        <x:v>EA</x:v>
      </x:c>
      <x:c r="E200" s="64" t="n">
        <x:v>16</x:v>
      </x:c>
      <x:c r="F200" s="64" t="n">
        <x:v>96</x:v>
      </x:c>
      <x:c r="G200" s="54" t="str">
        <x:v>RECONSTRUCTED</x:v>
      </x:c>
      <x:c r="H200"/>
    </x:row>
    <x:row r="201">
      <x:c r="A201" s="54" t="str">
        <x:v>PRT-0072</x:v>
      </x:c>
      <x:c r="B201" s="54" t="str">
        <x:v>Large Halyard, 200 ft</x:v>
      </x:c>
      <x:c r="C201" s="64" t="n">
        <x:v>6</x:v>
      </x:c>
      <x:c r="D201" s="64" t="str">
        <x:v>EA</x:v>
      </x:c>
      <x:c r="E201" s="64" t="n">
        <x:v>55</x:v>
      </x:c>
      <x:c r="F201" s="64" t="n">
        <x:v>330</x:v>
      </x:c>
      <x:c r="G201" s="54" t="str">
        <x:v>RECONSTRUCTED</x:v>
      </x:c>
      <x:c r="H201"/>
    </x:row>
    <x:row r="202">
      <x:c r="A202" s="54" t="str">
        <x:v>PRT-0096</x:v>
      </x:c>
      <x:c r="B202" s="54" t="str">
        <x:v>Anchor Buoy Rope, 100 ft</x:v>
      </x:c>
      <x:c r="C202" s="64" t="n">
        <x:v>6</x:v>
      </x:c>
      <x:c r="D202" s="64" t="str">
        <x:v>EA</x:v>
      </x:c>
      <x:c r="E202" s="64" t="n">
        <x:v>18</x:v>
      </x:c>
      <x:c r="F202" s="64" t="n">
        <x:v>108</x:v>
      </x:c>
      <x:c r="G202" s="54" t="str">
        <x:v>RECONSTRUCTED</x:v>
      </x:c>
      <x:c r="H202"/>
    </x:row>
    <x:row r="203">
      <x:c r="A203" s="54" t="str">
        <x:v>PRT-0101</x:v>
      </x:c>
      <x:c r="B203" s="54" t="str">
        <x:v>Boat Painter, 100 ft</x:v>
      </x:c>
      <x:c r="C203" s="64" t="n">
        <x:v>6</x:v>
      </x:c>
      <x:c r="D203" s="64" t="str">
        <x:v>EA</x:v>
      </x:c>
      <x:c r="E203" s="64" t="n">
        <x:v>18</x:v>
      </x:c>
      <x:c r="F203" s="64" t="n">
        <x:v>108</x:v>
      </x:c>
      <x:c r="G203" s="54" t="str">
        <x:v>RECONSTRUCTED</x:v>
      </x:c>
      <x:c r="H203"/>
    </x:row>
    <x:row r="204">
      <x:c r="A204" s="54" t="str">
        <x:v>PRT-0137</x:v>
      </x:c>
      <x:c r="B204" s="54" t="str">
        <x:v>Copper Cooking Pot</x:v>
      </x:c>
      <x:c r="C204" s="64" t="n">
        <x:v>6</x:v>
      </x:c>
      <x:c r="D204" s="64" t="str">
        <x:v>EA</x:v>
      </x:c>
      <x:c r="E204" s="64" t="n">
        <x:v>24</x:v>
      </x:c>
      <x:c r="F204" s="64" t="n">
        <x:v>144</x:v>
      </x:c>
      <x:c r="G204" s="54" t="str">
        <x:v>RECONSTRUCTED</x:v>
      </x:c>
      <x:c r="H204"/>
    </x:row>
    <x:row r="205">
      <x:c r="A205" s="54" t="str">
        <x:v>PRT-0139</x:v>
      </x:c>
      <x:c r="B205" s="54" t="str">
        <x:v>Long-Handled Galley Ladle</x:v>
      </x:c>
      <x:c r="C205" s="64" t="n">
        <x:v>6</x:v>
      </x:c>
      <x:c r="D205" s="64" t="str">
        <x:v>EA</x:v>
      </x:c>
      <x:c r="E205" s="64" t="n">
        <x:v>3</x:v>
      </x:c>
      <x:c r="F205" s="64" t="n">
        <x:v>18</x:v>
      </x:c>
      <x:c r="G205" s="54" t="str">
        <x:v>RECONSTRUCTED</x:v>
      </x:c>
      <x:c r="H205"/>
    </x:row>
    <x:row r="206">
      <x:c r="A206" s="54" t="str">
        <x:v>PRT-0147</x:v>
      </x:c>
      <x:c r="B206" s="54" t="str">
        <x:v>Large Pewter Charger</x:v>
      </x:c>
      <x:c r="C206" s="64" t="n">
        <x:v>6</x:v>
      </x:c>
      <x:c r="D206" s="64" t="str">
        <x:v>EA</x:v>
      </x:c>
      <x:c r="E206" s="64" t="n">
        <x:v>3</x:v>
      </x:c>
      <x:c r="F206" s="64" t="n">
        <x:v>18</x:v>
      </x:c>
      <x:c r="G206" s="54" t="str">
        <x:v>RECOVERED</x:v>
      </x:c>
      <x:c r="H206"/>
    </x:row>
    <x:row r="207">
      <x:c r="A207" s="54" t="str">
        <x:v>ASM-0003</x:v>
      </x:c>
      <x:c r="B207" s="54" t="str">
        <x:v>Removable Hatch Grating</x:v>
      </x:c>
      <x:c r="C207" s="64" t="n">
        <x:v>5</x:v>
      </x:c>
      <x:c r="D207" s="64" t="str">
        <x:v>EA</x:v>
      </x:c>
      <x:c r="E207" s="64"/>
      <x:c r="F207" s="64"/>
      <x:c r="G207" s="54" t="str">
        <x:v>RECONSTRUCTED</x:v>
      </x:c>
      <x:c r="H207"/>
    </x:row>
    <x:row r="208">
      <x:c r="A208" s="54" t="str">
        <x:v>ASM-0021</x:v>
      </x:c>
      <x:c r="B208" s="54" t="str">
        <x:v>Fore Shroud Pair</x:v>
      </x:c>
      <x:c r="C208" s="64" t="n">
        <x:v>5</x:v>
      </x:c>
      <x:c r="D208" s="64" t="str">
        <x:v>EA</x:v>
      </x:c>
      <x:c r="E208" s="64"/>
      <x:c r="F208" s="64"/>
      <x:c r="G208" s="54" t="str">
        <x:v>RECONSTRUCTED</x:v>
      </x:c>
      <x:c r="H208"/>
    </x:row>
    <x:row r="209">
      <x:c r="A209" s="54" t="str">
        <x:v>PRT-0102</x:v>
      </x:c>
      <x:c r="B209" s="54" t="str">
        <x:v>Wooden Boat Bailer</x:v>
      </x:c>
      <x:c r="C209" s="64" t="n">
        <x:v>5</x:v>
      </x:c>
      <x:c r="D209" s="64" t="str">
        <x:v>EA</x:v>
      </x:c>
      <x:c r="E209" s="64" t="n">
        <x:v>2</x:v>
      </x:c>
      <x:c r="F209" s="64" t="n">
        <x:v>10</x:v>
      </x:c>
      <x:c r="G209" s="54" t="str">
        <x:v>RECONSTRUCTED</x:v>
      </x:c>
      <x:c r="H209"/>
    </x:row>
    <x:row r="210">
      <x:c r="A210" s="54" t="str">
        <x:v>ASM-0018</x:v>
      </x:c>
      <x:c r="B210" s="54" t="str">
        <x:v>Enclosed Magazine Lantern</x:v>
      </x:c>
      <x:c r="C210" s="64" t="n">
        <x:v>4</x:v>
      </x:c>
      <x:c r="D210" s="64" t="str">
        <x:v>EA</x:v>
      </x:c>
      <x:c r="E210" s="64" t="n">
        <x:v>6</x:v>
      </x:c>
      <x:c r="F210" s="64" t="n">
        <x:v>24</x:v>
      </x:c>
      <x:c r="G210" s="54" t="str">
        <x:v>RECONSTRUCTED</x:v>
      </x:c>
      <x:c r="H210"/>
    </x:row>
    <x:row r="211">
      <x:c r="A211" s="54" t="str">
        <x:v>ASM-0022</x:v>
      </x:c>
      <x:c r="B211" s="54" t="str">
        <x:v>Mizzen Shroud Pair</x:v>
      </x:c>
      <x:c r="C211" s="64" t="n">
        <x:v>4</x:v>
      </x:c>
      <x:c r="D211" s="64" t="str">
        <x:v>EA</x:v>
      </x:c>
      <x:c r="E211" s="64"/>
      <x:c r="F211" s="64"/>
      <x:c r="G211" s="54" t="str">
        <x:v>RECONSTRUCTED</x:v>
      </x:c>
      <x:c r="H211"/>
    </x:row>
    <x:row r="212">
      <x:c r="A212" s="54" t="str">
        <x:v>ASM-0058</x:v>
      </x:c>
      <x:c r="B212" s="54" t="str">
        <x:v>Cabin Chair</x:v>
      </x:c>
      <x:c r="C212" s="64" t="n">
        <x:v>4</x:v>
      </x:c>
      <x:c r="D212" s="64" t="str">
        <x:v>EA</x:v>
      </x:c>
      <x:c r="E212" s="64"/>
      <x:c r="F212" s="64"/>
      <x:c r="G212" s="54" t="str">
        <x:v>RECONSTRUCTED</x:v>
      </x:c>
      <x:c r="H212"/>
    </x:row>
    <x:row r="213">
      <x:c r="A213" s="54" t="str">
        <x:v>ASM-0063</x:v>
      </x:c>
      <x:c r="B213" s="54" t="str">
        <x:v>Collision Mat and Rigging</x:v>
      </x:c>
      <x:c r="C213" s="64" t="n">
        <x:v>4</x:v>
      </x:c>
      <x:c r="D213" s="64" t="str">
        <x:v>EA</x:v>
      </x:c>
      <x:c r="E213" s="64" t="n">
        <x:v>180</x:v>
      </x:c>
      <x:c r="F213" s="64" t="n">
        <x:v>720</x:v>
      </x:c>
      <x:c r="G213" s="54" t="str">
        <x:v>RECONSTRUCTED</x:v>
      </x:c>
      <x:c r="H213"/>
    </x:row>
    <x:row r="214">
      <x:c r="A214" s="54" t="str">
        <x:v>DOC-0002</x:v>
      </x:c>
      <x:c r="B214" s="54" t="str">
        <x:v>Quartermaster's Stores Ledger</x:v>
      </x:c>
      <x:c r="C214" s="64" t="n">
        <x:v>4</x:v>
      </x:c>
      <x:c r="D214" s="64" t="str">
        <x:v>EA</x:v>
      </x:c>
      <x:c r="E214" s="64"/>
      <x:c r="F214" s="64"/>
      <x:c r="G214" s="54" t="str">
        <x:v>FICTIONAL</x:v>
      </x:c>
      <x:c r="H214"/>
    </x:row>
    <x:row r="215">
      <x:c r="A215" s="54" t="str">
        <x:v>LBL-0010</x:v>
      </x:c>
      <x:c r="B215" s="54" t="str">
        <x:v>Provision Label - Vinegar</x:v>
      </x:c>
      <x:c r="C215" s="64" t="n">
        <x:v>4</x:v>
      </x:c>
      <x:c r="D215" s="64" t="str">
        <x:v>EA</x:v>
      </x:c>
      <x:c r="E215" s="64"/>
      <x:c r="F215" s="64"/>
      <x:c r="G215" s="54" t="str">
        <x:v>FICTIONAL</x:v>
      </x:c>
      <x:c r="H215"/>
    </x:row>
    <x:row r="216">
      <x:c r="A216" s="54" t="str">
        <x:v>MAT-0022</x:v>
      </x:c>
      <x:c r="B216" s="54" t="str">
        <x:v>Laudanum Bottle</x:v>
      </x:c>
      <x:c r="C216" s="64" t="n">
        <x:v>4</x:v>
      </x:c>
      <x:c r="D216" s="64" t="str">
        <x:v>EA</x:v>
      </x:c>
      <x:c r="E216" s="64" t="n">
        <x:v>2</x:v>
      </x:c>
      <x:c r="F216" s="64" t="n">
        <x:v>8</x:v>
      </x:c>
      <x:c r="G216" s="54" t="str">
        <x:v>RECONSTRUCTED</x:v>
      </x:c>
      <x:c r="H216"/>
    </x:row>
    <x:row r="217">
      <x:c r="A217" s="54" t="str">
        <x:v>MAT-0023</x:v>
      </x:c>
      <x:c r="B217" s="54" t="str">
        <x:v>Peruvian Bark Jar</x:v>
      </x:c>
      <x:c r="C217" s="64" t="n">
        <x:v>4</x:v>
      </x:c>
      <x:c r="D217" s="64" t="str">
        <x:v>EA</x:v>
      </x:c>
      <x:c r="E217" s="64" t="n">
        <x:v>3</x:v>
      </x:c>
      <x:c r="F217" s="64" t="n">
        <x:v>12</x:v>
      </x:c>
      <x:c r="G217" s="54" t="str">
        <x:v>RECONSTRUCTED</x:v>
      </x:c>
      <x:c r="H217"/>
    </x:row>
    <x:row r="218">
      <x:c r="A218" s="54" t="str">
        <x:v>PKG-0005</x:v>
      </x:c>
      <x:c r="B218" s="54" t="str">
        <x:v>Boat Water Breaker, 10 gal</x:v>
      </x:c>
      <x:c r="C218" s="64" t="n">
        <x:v>4</x:v>
      </x:c>
      <x:c r="D218" s="64" t="str">
        <x:v>EA</x:v>
      </x:c>
      <x:c r="E218" s="64" t="n">
        <x:v>12</x:v>
      </x:c>
      <x:c r="F218" s="64" t="n">
        <x:v>48</x:v>
      </x:c>
      <x:c r="G218" s="54" t="str">
        <x:v>RECONSTRUCTED</x:v>
      </x:c>
      <x:c r="H218"/>
    </x:row>
    <x:row r="219">
      <x:c r="A219" s="54" t="str">
        <x:v>PKG-0016</x:v>
      </x:c>
      <x:c r="B219" s="54" t="str">
        <x:v>Ink Horn</x:v>
      </x:c>
      <x:c r="C219" s="64" t="n">
        <x:v>4</x:v>
      </x:c>
      <x:c r="D219" s="64" t="str">
        <x:v>EA</x:v>
      </x:c>
      <x:c r="E219" s="64"/>
      <x:c r="F219" s="64"/>
      <x:c r="G219" s="54" t="str">
        <x:v>RECONSTRUCTED</x:v>
      </x:c>
      <x:c r="H219"/>
    </x:row>
    <x:row r="220">
      <x:c r="A220" s="54" t="str">
        <x:v>PRT-0010</x:v>
      </x:c>
      <x:c r="B220" s="54" t="str">
        <x:v>Iron Rudder Pintle</x:v>
      </x:c>
      <x:c r="C220" s="64" t="n">
        <x:v>4</x:v>
      </x:c>
      <x:c r="D220" s="64" t="str">
        <x:v>EA</x:v>
      </x:c>
      <x:c r="E220" s="64" t="n">
        <x:v>22</x:v>
      </x:c>
      <x:c r="F220" s="64" t="n">
        <x:v>88</x:v>
      </x:c>
      <x:c r="G220" s="54" t="str">
        <x:v>RECOVERED</x:v>
      </x:c>
      <x:c r="H220"/>
    </x:row>
    <x:row r="221">
      <x:c r="A221" s="54" t="str">
        <x:v>PRT-0011</x:v>
      </x:c>
      <x:c r="B221" s="54" t="str">
        <x:v>Iron Rudder Gudgeon</x:v>
      </x:c>
      <x:c r="C221" s="64" t="n">
        <x:v>4</x:v>
      </x:c>
      <x:c r="D221" s="64" t="str">
        <x:v>EA</x:v>
      </x:c>
      <x:c r="E221" s="64" t="n">
        <x:v>20</x:v>
      </x:c>
      <x:c r="F221" s="64" t="n">
        <x:v>80</x:v>
      </x:c>
      <x:c r="G221" s="54" t="str">
        <x:v>RECONSTRUCTED</x:v>
      </x:c>
      <x:c r="H221"/>
    </x:row>
    <x:row r="222">
      <x:c r="A222" s="54" t="str">
        <x:v>PRT-0054</x:v>
      </x:c>
      <x:c r="B222" s="54" t="str">
        <x:v>Copper Powder Scoop</x:v>
      </x:c>
      <x:c r="C222" s="64" t="n">
        <x:v>4</x:v>
      </x:c>
      <x:c r="D222" s="64" t="str">
        <x:v>EA</x:v>
      </x:c>
      <x:c r="E222" s="64" t="n">
        <x:v>1</x:v>
      </x:c>
      <x:c r="F222" s="64" t="n">
        <x:v>4</x:v>
      </x:c>
      <x:c r="G222" s="54" t="str">
        <x:v>RECONSTRUCTED</x:v>
      </x:c>
      <x:c r="H222"/>
    </x:row>
    <x:row r="223">
      <x:c r="A223" s="54" t="str">
        <x:v>PRT-0055</x:v>
      </x:c>
      <x:c r="B223" s="54" t="str">
        <x:v>Copper Cartridge Funnel</x:v>
      </x:c>
      <x:c r="C223" s="64" t="n">
        <x:v>4</x:v>
      </x:c>
      <x:c r="D223" s="64" t="str">
        <x:v>EA</x:v>
      </x:c>
      <x:c r="E223" s="64" t="n">
        <x:v>1</x:v>
      </x:c>
      <x:c r="F223" s="64" t="n">
        <x:v>4</x:v>
      </x:c>
      <x:c r="G223" s="54" t="str">
        <x:v>RECONSTRUCTED</x:v>
      </x:c>
      <x:c r="H223"/>
    </x:row>
    <x:row r="224">
      <x:c r="A224" s="54" t="str">
        <x:v>PRT-0106</x:v>
      </x:c>
      <x:c r="B224" s="54" t="str">
        <x:v>Thirty-Minute Sandglass</x:v>
      </x:c>
      <x:c r="C224" s="64" t="n">
        <x:v>4</x:v>
      </x:c>
      <x:c r="D224" s="64" t="str">
        <x:v>EA</x:v>
      </x:c>
      <x:c r="E224" s="64"/>
      <x:c r="F224" s="64"/>
      <x:c r="G224" s="54" t="str">
        <x:v>RECONSTRUCTED</x:v>
      </x:c>
      <x:c r="H224"/>
    </x:row>
    <x:row r="225">
      <x:c r="A225" s="54" t="str">
        <x:v>PRT-0113</x:v>
      </x:c>
      <x:c r="B225" s="54" t="str">
        <x:v>Shipwright's Adze</x:v>
      </x:c>
      <x:c r="C225" s="64" t="n">
        <x:v>4</x:v>
      </x:c>
      <x:c r="D225" s="64" t="str">
        <x:v>EA</x:v>
      </x:c>
      <x:c r="E225" s="64" t="n">
        <x:v>6</x:v>
      </x:c>
      <x:c r="F225" s="64" t="n">
        <x:v>24</x:v>
      </x:c>
      <x:c r="G225" s="54" t="str">
        <x:v>RECONSTRUCTED</x:v>
      </x:c>
      <x:c r="H225"/>
    </x:row>
    <x:row r="226">
      <x:c r="A226" s="54" t="str">
        <x:v>PRT-0115</x:v>
      </x:c>
      <x:c r="B226" s="54" t="str">
        <x:v>Carpenter's Hand Saw</x:v>
      </x:c>
      <x:c r="C226" s="64" t="n">
        <x:v>4</x:v>
      </x:c>
      <x:c r="D226" s="64" t="str">
        <x:v>EA</x:v>
      </x:c>
      <x:c r="E226" s="64" t="n">
        <x:v>4</x:v>
      </x:c>
      <x:c r="F226" s="64" t="n">
        <x:v>16</x:v>
      </x:c>
      <x:c r="G226" s="54" t="str">
        <x:v>RECONSTRUCTED</x:v>
      </x:c>
      <x:c r="H226"/>
    </x:row>
    <x:row r="227">
      <x:c r="A227" s="54" t="str">
        <x:v>PRT-0118</x:v>
      </x:c>
      <x:c r="B227" s="54" t="str">
        <x:v>Iron Crowbar</x:v>
      </x:c>
      <x:c r="C227" s="64" t="n">
        <x:v>4</x:v>
      </x:c>
      <x:c r="D227" s="64" t="str">
        <x:v>EA</x:v>
      </x:c>
      <x:c r="E227" s="64" t="n">
        <x:v>18</x:v>
      </x:c>
      <x:c r="F227" s="64" t="n">
        <x:v>72</x:v>
      </x:c>
      <x:c r="G227" s="54" t="str">
        <x:v>RECONSTRUCTED</x:v>
      </x:c>
      <x:c r="H227"/>
    </x:row>
    <x:row r="228">
      <x:c r="A228" s="54" t="str">
        <x:v>PRT-0131</x:v>
      </x:c>
      <x:c r="B228" s="54" t="str">
        <x:v>Surgical Forceps</x:v>
      </x:c>
      <x:c r="C228" s="64" t="n">
        <x:v>4</x:v>
      </x:c>
      <x:c r="D228" s="64" t="str">
        <x:v>EA</x:v>
      </x:c>
      <x:c r="E228" s="64" t="n">
        <x:v>0.6</x:v>
      </x:c>
      <x:c r="F228" s="64" t="n">
        <x:v>2.4</x:v>
      </x:c>
      <x:c r="G228" s="54" t="str">
        <x:v>RECONSTRUCTED</x:v>
      </x:c>
      <x:c r="H228"/>
    </x:row>
    <x:row r="229">
      <x:c r="A229" s="54" t="str">
        <x:v>PRT-0136</x:v>
      </x:c>
      <x:c r="B229" s="54" t="str">
        <x:v>Copper Kettle</x:v>
      </x:c>
      <x:c r="C229" s="64" t="n">
        <x:v>4</x:v>
      </x:c>
      <x:c r="D229" s="64" t="str">
        <x:v>EA</x:v>
      </x:c>
      <x:c r="E229" s="64" t="n">
        <x:v>18</x:v>
      </x:c>
      <x:c r="F229" s="64" t="n">
        <x:v>72</x:v>
      </x:c>
      <x:c r="G229" s="54" t="str">
        <x:v>RECONSTRUCTED</x:v>
      </x:c>
      <x:c r="H229"/>
    </x:row>
    <x:row r="230">
      <x:c r="A230" s="54" t="str">
        <x:v>PRT-0138</x:v>
      </x:c>
      <x:c r="B230" s="54" t="str">
        <x:v>Iron Frying Pan</x:v>
      </x:c>
      <x:c r="C230" s="64" t="n">
        <x:v>4</x:v>
      </x:c>
      <x:c r="D230" s="64" t="str">
        <x:v>EA</x:v>
      </x:c>
      <x:c r="E230" s="64" t="n">
        <x:v>16</x:v>
      </x:c>
      <x:c r="F230" s="64" t="n">
        <x:v>64</x:v>
      </x:c>
      <x:c r="G230" s="54" t="str">
        <x:v>RECONSTRUCTED</x:v>
      </x:c>
      <x:c r="H230"/>
    </x:row>
    <x:row r="231">
      <x:c r="A231" s="54" t="str">
        <x:v>PRT-0141</x:v>
      </x:c>
      <x:c r="B231" s="54" t="str">
        <x:v>Galley Cleaver</x:v>
      </x:c>
      <x:c r="C231" s="64" t="n">
        <x:v>4</x:v>
      </x:c>
      <x:c r="D231" s="64" t="str">
        <x:v>EA</x:v>
      </x:c>
      <x:c r="E231" s="64" t="n">
        <x:v>2.5</x:v>
      </x:c>
      <x:c r="F231" s="64" t="n">
        <x:v>10</x:v>
      </x:c>
      <x:c r="G231" s="54" t="str">
        <x:v>RECONSTRUCTED</x:v>
      </x:c>
      <x:c r="H231"/>
    </x:row>
    <x:row r="232">
      <x:c r="A232" s="54" t="str">
        <x:v>ASM-0027</x:v>
      </x:c>
      <x:c r="B232" s="54" t="str">
        <x:v>Boat Rudder and Tiller</x:v>
      </x:c>
      <x:c r="C232" s="64" t="n">
        <x:v>3</x:v>
      </x:c>
      <x:c r="D232" s="64" t="str">
        <x:v>EA</x:v>
      </x:c>
      <x:c r="E232" s="64" t="n">
        <x:v>24</x:v>
      </x:c>
      <x:c r="F232" s="64" t="n">
        <x:v>72</x:v>
      </x:c>
      <x:c r="G232" s="54" t="str">
        <x:v>RECONSTRUCTED</x:v>
      </x:c>
      <x:c r="H232"/>
    </x:row>
    <x:row r="233">
      <x:c r="A233" s="54" t="str">
        <x:v>ASM-0030</x:v>
      </x:c>
      <x:c r="B233" s="54" t="str">
        <x:v>Boat Grapnel and Line</x:v>
      </x:c>
      <x:c r="C233" s="64" t="n">
        <x:v>3</x:v>
      </x:c>
      <x:c r="D233" s="64" t="str">
        <x:v>EA</x:v>
      </x:c>
      <x:c r="E233" s="64" t="n">
        <x:v>48</x:v>
      </x:c>
      <x:c r="F233" s="64" t="n">
        <x:v>144</x:v>
      </x:c>
      <x:c r="G233" s="54" t="str">
        <x:v>RECONSTRUCTED</x:v>
      </x:c>
      <x:c r="H233"/>
    </x:row>
    <x:row r="234">
      <x:c r="A234" s="54" t="str">
        <x:v>PRT-0105</x:v>
      </x:c>
      <x:c r="B234" s="54" t="str">
        <x:v>Brass Dividers</x:v>
      </x:c>
      <x:c r="C234" s="64" t="n">
        <x:v>3</x:v>
      </x:c>
      <x:c r="D234" s="64" t="str">
        <x:v>EA</x:v>
      </x:c>
      <x:c r="E234" s="64"/>
      <x:c r="F234" s="64"/>
      <x:c r="G234" s="54" t="str">
        <x:v>RECOVERED</x:v>
      </x:c>
      <x:c r="H234"/>
    </x:row>
    <x:row r="235">
      <x:c r="A235" s="54" t="str">
        <x:v>PRT-0135</x:v>
      </x:c>
      <x:c r="B235" s="54" t="str">
        <x:v>Large Iron Cauldron</x:v>
      </x:c>
      <x:c r="C235" s="64" t="n">
        <x:v>3</x:v>
      </x:c>
      <x:c r="D235" s="64" t="str">
        <x:v>EA</x:v>
      </x:c>
      <x:c r="E235" s="64" t="n">
        <x:v>95</x:v>
      </x:c>
      <x:c r="F235" s="64" t="n">
        <x:v>285</x:v>
      </x:c>
      <x:c r="G235" s="54" t="str">
        <x:v>RECONSTRUCTED</x:v>
      </x:c>
      <x:c r="H235"/>
    </x:row>
    <x:row r="236">
      <x:c r="A236" s="54" t="str">
        <x:v>ASM-0005</x:v>
      </x:c>
      <x:c r="B236" s="54" t="str">
        <x:v>Seat of Ease</x:v>
      </x:c>
      <x:c r="C236" s="64" t="n">
        <x:v>2</x:v>
      </x:c>
      <x:c r="D236" s="64" t="str">
        <x:v>EA</x:v>
      </x:c>
      <x:c r="E236" s="64"/>
      <x:c r="F236" s="64"/>
      <x:c r="G236" s="54" t="str">
        <x:v>RECOVERED</x:v>
      </x:c>
      <x:c r="H236"/>
    </x:row>
    <x:row r="237">
      <x:c r="A237" s="54" t="str">
        <x:v>ASM-0028</x:v>
      </x:c>
      <x:c r="B237" s="54" t="str">
        <x:v>Boat Mast and Yard</x:v>
      </x:c>
      <x:c r="C237" s="64" t="n">
        <x:v>2</x:v>
      </x:c>
      <x:c r="D237" s="64" t="str">
        <x:v>EA</x:v>
      </x:c>
      <x:c r="E237" s="64" t="n">
        <x:v>42</x:v>
      </x:c>
      <x:c r="F237" s="64" t="n">
        <x:v>84</x:v>
      </x:c>
      <x:c r="G237" s="54" t="str">
        <x:v>RECONSTRUCTED</x:v>
      </x:c>
      <x:c r="H237"/>
    </x:row>
    <x:row r="238">
      <x:c r="A238" s="54" t="str">
        <x:v>ASM-0029</x:v>
      </x:c>
      <x:c r="B238" s="54" t="str">
        <x:v>Boat Lug Sail</x:v>
      </x:c>
      <x:c r="C238" s="64" t="n">
        <x:v>2</x:v>
      </x:c>
      <x:c r="D238" s="64" t="str">
        <x:v>EA</x:v>
      </x:c>
      <x:c r="E238" s="64" t="n">
        <x:v>35</x:v>
      </x:c>
      <x:c r="F238" s="64" t="n">
        <x:v>70</x:v>
      </x:c>
      <x:c r="G238" s="54" t="str">
        <x:v>RECONSTRUCTED</x:v>
      </x:c>
      <x:c r="H238"/>
    </x:row>
    <x:row r="239">
      <x:c r="A239" s="54" t="str">
        <x:v>ASM-0031</x:v>
      </x:c>
      <x:c r="B239" s="54" t="str">
        <x:v>Mariner's Compass in Box</x:v>
      </x:c>
      <x:c r="C239" s="64" t="n">
        <x:v>2</x:v>
      </x:c>
      <x:c r="D239" s="64" t="str">
        <x:v>EA</x:v>
      </x:c>
      <x:c r="E239" s="64"/>
      <x:c r="F239" s="64"/>
      <x:c r="G239" s="54" t="str">
        <x:v>RECONSTRUCTED</x:v>
      </x:c>
      <x:c r="H239"/>
    </x:row>
    <x:row r="240">
      <x:c r="A240" s="54" t="str">
        <x:v>ASM-0033</x:v>
      </x:c>
      <x:c r="B240" s="54" t="str">
        <x:v>Chip Log and Knotted Line</x:v>
      </x:c>
      <x:c r="C240" s="64" t="n">
        <x:v>2</x:v>
      </x:c>
      <x:c r="D240" s="64" t="str">
        <x:v>EA</x:v>
      </x:c>
      <x:c r="E240" s="64"/>
      <x:c r="F240" s="64"/>
      <x:c r="G240" s="54" t="str">
        <x:v>RECONSTRUCTED</x:v>
      </x:c>
      <x:c r="H240"/>
    </x:row>
    <x:row r="241">
      <x:c r="A241" s="54" t="str">
        <x:v>ASM-0036</x:v>
      </x:c>
      <x:c r="B241" s="54" t="str">
        <x:v>Small Signal Gun</x:v>
      </x:c>
      <x:c r="C241" s="64" t="n">
        <x:v>2</x:v>
      </x:c>
      <x:c r="D241" s="64" t="str">
        <x:v>EA</x:v>
      </x:c>
      <x:c r="E241" s="64" t="n">
        <x:v>180</x:v>
      </x:c>
      <x:c r="F241" s="64" t="n">
        <x:v>360</x:v>
      </x:c>
      <x:c r="G241" s="54" t="str">
        <x:v>RECOVERED</x:v>
      </x:c>
      <x:c r="H241"/>
    </x:row>
    <x:row r="242">
      <x:c r="A242" s="54" t="str">
        <x:v>ASM-0056</x:v>
      </x:c>
      <x:c r="B242" s="54" t="str">
        <x:v>Locking Strong Chest</x:v>
      </x:c>
      <x:c r="C242" s="64" t="n">
        <x:v>2</x:v>
      </x:c>
      <x:c r="D242" s="64" t="str">
        <x:v>EA</x:v>
      </x:c>
      <x:c r="E242" s="64"/>
      <x:c r="F242" s="64"/>
      <x:c r="G242" s="54" t="str">
        <x:v>RECONSTRUCTED</x:v>
      </x:c>
      <x:c r="H242"/>
    </x:row>
    <x:row r="243">
      <x:c r="A243" s="54" t="str">
        <x:v>DOC-0001</x:v>
      </x:c>
      <x:c r="B243" s="54" t="str">
        <x:v>Carolina and Caribbean Coastal Chart Set</x:v>
      </x:c>
      <x:c r="C243" s="64" t="n">
        <x:v>2</x:v>
      </x:c>
      <x:c r="D243" s="64" t="str">
        <x:v>EA</x:v>
      </x:c>
      <x:c r="E243" s="64"/>
      <x:c r="F243" s="64"/>
      <x:c r="G243" s="54" t="str">
        <x:v>RECONSTRUCTED</x:v>
      </x:c>
      <x:c r="H243"/>
    </x:row>
    <x:row r="244">
      <x:c r="A244" s="54" t="str">
        <x:v>DOC-0003</x:v>
      </x:c>
      <x:c r="B244" s="54" t="str">
        <x:v>Crew Muster and Watch Book</x:v>
      </x:c>
      <x:c r="C244" s="64" t="n">
        <x:v>2</x:v>
      </x:c>
      <x:c r="D244" s="64" t="str">
        <x:v>EA</x:v>
      </x:c>
      <x:c r="E244" s="64"/>
      <x:c r="F244" s="64"/>
      <x:c r="G244" s="54" t="str">
        <x:v>RECONSTRUCTED</x:v>
      </x:c>
      <x:c r="H244"/>
    </x:row>
    <x:row r="245">
      <x:c r="A245" s="54" t="str">
        <x:v>KIT-0003</x:v>
      </x:c>
      <x:c r="B245" s="54" t="str">
        <x:v>Pump Leather Service Set</x:v>
      </x:c>
      <x:c r="C245" s="64" t="n">
        <x:v>2</x:v>
      </x:c>
      <x:c r="D245" s="64" t="str">
        <x:v>EA</x:v>
      </x:c>
      <x:c r="E245" s="64" t="n">
        <x:v>3</x:v>
      </x:c>
      <x:c r="F245" s="64" t="n">
        <x:v>6</x:v>
      </x:c>
      <x:c r="G245" s="54" t="str">
        <x:v>RECONSTRUCTED</x:v>
      </x:c>
      <x:c r="H245"/>
    </x:row>
    <x:row r="246">
      <x:c r="A246" s="54" t="str">
        <x:v>KIT-0017</x:v>
      </x:c>
      <x:c r="B246" s="54" t="str">
        <x:v>Brass Powder Weight Set</x:v>
      </x:c>
      <x:c r="C246" s="64" t="n">
        <x:v>2</x:v>
      </x:c>
      <x:c r="D246" s="64" t="str">
        <x:v>EA</x:v>
      </x:c>
      <x:c r="E246" s="64" t="n">
        <x:v>2</x:v>
      </x:c>
      <x:c r="F246" s="64" t="n">
        <x:v>4</x:v>
      </x:c>
      <x:c r="G246" s="54" t="str">
        <x:v>RECOVERED</x:v>
      </x:c>
      <x:c r="H246"/>
    </x:row>
    <x:row r="247">
      <x:c r="A247" s="54" t="str">
        <x:v>KIT-0027</x:v>
      </x:c>
      <x:c r="B247" s="54" t="str">
        <x:v>Signal Flag Set</x:v>
      </x:c>
      <x:c r="C247" s="64" t="n">
        <x:v>2</x:v>
      </x:c>
      <x:c r="D247" s="64" t="str">
        <x:v>EA</x:v>
      </x:c>
      <x:c r="E247" s="64"/>
      <x:c r="F247" s="64"/>
      <x:c r="G247" s="54" t="str">
        <x:v>RECONSTRUCTED</x:v>
      </x:c>
      <x:c r="H247"/>
    </x:row>
    <x:row r="248">
      <x:c r="A248" s="54" t="str">
        <x:v>KIT-0031</x:v>
      </x:c>
      <x:c r="B248" s="54" t="str">
        <x:v>Ship Auger Set</x:v>
      </x:c>
      <x:c r="C248" s="64" t="n">
        <x:v>2</x:v>
      </x:c>
      <x:c r="D248" s="64" t="str">
        <x:v>EA</x:v>
      </x:c>
      <x:c r="E248" s="64" t="n">
        <x:v>28</x:v>
      </x:c>
      <x:c r="F248" s="64" t="n">
        <x:v>56</x:v>
      </x:c>
      <x:c r="G248" s="54" t="str">
        <x:v>RECONSTRUCTED</x:v>
      </x:c>
      <x:c r="H248"/>
    </x:row>
    <x:row r="249">
      <x:c r="A249" s="54" t="str">
        <x:v>KIT-0032</x:v>
      </x:c>
      <x:c r="B249" s="54" t="str">
        <x:v>Chisel and Gouge Set</x:v>
      </x:c>
      <x:c r="C249" s="64" t="n">
        <x:v>2</x:v>
      </x:c>
      <x:c r="D249" s="64" t="str">
        <x:v>EA</x:v>
      </x:c>
      <x:c r="E249" s="64" t="n">
        <x:v>14</x:v>
      </x:c>
      <x:c r="F249" s="64" t="n">
        <x:v>28</x:v>
      </x:c>
      <x:c r="G249" s="54" t="str">
        <x:v>RECOVERED</x:v>
      </x:c>
      <x:c r="H249"/>
    </x:row>
    <x:row r="250">
      <x:c r="A250" s="54" t="str">
        <x:v>KIT-0038</x:v>
      </x:c>
      <x:c r="B250" s="54" t="str">
        <x:v>Lancet Set</x:v>
      </x:c>
      <x:c r="C250" s="64" t="n">
        <x:v>2</x:v>
      </x:c>
      <x:c r="D250" s="64" t="str">
        <x:v>EA</x:v>
      </x:c>
      <x:c r="E250" s="64" t="n">
        <x:v>0.5</x:v>
      </x:c>
      <x:c r="F250" s="64" t="n">
        <x:v>1</x:v>
      </x:c>
      <x:c r="G250" s="54" t="str">
        <x:v>RECONSTRUCTED</x:v>
      </x:c>
      <x:c r="H250"/>
    </x:row>
    <x:row r="251">
      <x:c r="A251" s="54" t="str">
        <x:v>KIT-0039</x:v>
      </x:c>
      <x:c r="B251" s="54" t="str">
        <x:v>Probe and Director Set</x:v>
      </x:c>
      <x:c r="C251" s="64" t="n">
        <x:v>2</x:v>
      </x:c>
      <x:c r="D251" s="64" t="str">
        <x:v>EA</x:v>
      </x:c>
      <x:c r="E251" s="64" t="n">
        <x:v>0.5</x:v>
      </x:c>
      <x:c r="F251" s="64" t="n">
        <x:v>1</x:v>
      </x:c>
      <x:c r="G251" s="54" t="str">
        <x:v>RECONSTRUCTED</x:v>
      </x:c>
      <x:c r="H251"/>
    </x:row>
    <x:row r="252">
      <x:c r="A252" s="54" t="str">
        <x:v>MAT-0024</x:v>
      </x:c>
      <x:c r="B252" s="54" t="str">
        <x:v>Mercury Preparation Jar</x:v>
      </x:c>
      <x:c r="C252" s="64" t="n">
        <x:v>2</x:v>
      </x:c>
      <x:c r="D252" s="64" t="str">
        <x:v>EA</x:v>
      </x:c>
      <x:c r="E252" s="64" t="n">
        <x:v>3</x:v>
      </x:c>
      <x:c r="F252" s="64" t="n">
        <x:v>6</x:v>
      </x:c>
      <x:c r="G252" s="54" t="str">
        <x:v>RECONSTRUCTED</x:v>
      </x:c>
      <x:c r="H252"/>
    </x:row>
    <x:row r="253">
      <x:c r="A253" s="54" t="str">
        <x:v>PKG-0006</x:v>
      </x:c>
      <x:c r="B253" s="54" t="str">
        <x:v>Waxed Chart Case</x:v>
      </x:c>
      <x:c r="C253" s="64" t="n">
        <x:v>2</x:v>
      </x:c>
      <x:c r="D253" s="64" t="str">
        <x:v>EA</x:v>
      </x:c>
      <x:c r="E253" s="64"/>
      <x:c r="F253" s="64"/>
      <x:c r="G253" s="54" t="str">
        <x:v>RECONSTRUCTED</x:v>
      </x:c>
      <x:c r="H253"/>
    </x:row>
    <x:row r="254">
      <x:c r="A254" s="54" t="str">
        <x:v>PRT-0012</x:v>
      </x:c>
      <x:c r="B254" s="54" t="str">
        <x:v>Tiller Relieving Rope, 30 ft</x:v>
      </x:c>
      <x:c r="C254" s="64" t="n">
        <x:v>2</x:v>
      </x:c>
      <x:c r="D254" s="64" t="str">
        <x:v>COIL</x:v>
      </x:c>
      <x:c r="E254" s="64" t="n">
        <x:v>12</x:v>
      </x:c>
      <x:c r="F254" s="64" t="n">
        <x:v>24</x:v>
      </x:c>
      <x:c r="G254" s="54" t="str">
        <x:v>RECONSTRUCTED</x:v>
      </x:c>
      <x:c r="H254"/>
    </x:row>
    <x:row r="255">
      <x:c r="A255" s="54" t="str">
        <x:v>PRT-0013</x:v>
      </x:c>
      <x:c r="B255" s="54" t="str">
        <x:v>Bilge Strainer</x:v>
      </x:c>
      <x:c r="C255" s="64" t="n">
        <x:v>2</x:v>
      </x:c>
      <x:c r="D255" s="64" t="str">
        <x:v>EA</x:v>
      </x:c>
      <x:c r="E255" s="64"/>
      <x:c r="F255" s="64"/>
      <x:c r="G255" s="54" t="str">
        <x:v>RECOVERED</x:v>
      </x:c>
      <x:c r="H255"/>
    </x:row>
    <x:row r="256">
      <x:c r="A256" s="54" t="str">
        <x:v>PRT-0014</x:v>
      </x:c>
      <x:c r="B256" s="54" t="str">
        <x:v>Pump Brake Handle</x:v>
      </x:c>
      <x:c r="C256" s="64" t="n">
        <x:v>2</x:v>
      </x:c>
      <x:c r="D256" s="64" t="str">
        <x:v>EA</x:v>
      </x:c>
      <x:c r="E256" s="64" t="n">
        <x:v>14</x:v>
      </x:c>
      <x:c r="F256" s="64" t="n">
        <x:v>28</x:v>
      </x:c>
      <x:c r="G256" s="54" t="str">
        <x:v>RECONSTRUCTED</x:v>
      </x:c>
      <x:c r="H256"/>
    </x:row>
    <x:row r="257">
      <x:c r="A257" s="54" t="str">
        <x:v>PRT-0053</x:v>
      </x:c>
      <x:c r="B257" s="54" t="str">
        <x:v>Brass Powder Scale</x:v>
      </x:c>
      <x:c r="C257" s="64" t="n">
        <x:v>2</x:v>
      </x:c>
      <x:c r="D257" s="64" t="str">
        <x:v>EA</x:v>
      </x:c>
      <x:c r="E257" s="64" t="n">
        <x:v>3</x:v>
      </x:c>
      <x:c r="F257" s="64" t="n">
        <x:v>6</x:v>
      </x:c>
      <x:c r="G257" s="54" t="str">
        <x:v>RECOVERED</x:v>
      </x:c>
      <x:c r="H257"/>
    </x:row>
    <x:row r="258">
      <x:c r="A258" s="54" t="str">
        <x:v>PRT-0063</x:v>
      </x:c>
      <x:c r="B258" s="54" t="str">
        <x:v>Main Stay</x:v>
      </x:c>
      <x:c r="C258" s="64" t="n">
        <x:v>2</x:v>
      </x:c>
      <x:c r="D258" s="64" t="str">
        <x:v>EA</x:v>
      </x:c>
      <x:c r="E258" s="64"/>
      <x:c r="F258" s="64"/>
      <x:c r="G258" s="54" t="str">
        <x:v>RECONSTRUCTED</x:v>
      </x:c>
      <x:c r="H258"/>
    </x:row>
    <x:row r="259">
      <x:c r="A259" s="54" t="str">
        <x:v>PRT-0064</x:v>
      </x:c>
      <x:c r="B259" s="54" t="str">
        <x:v>Fore Stay</x:v>
      </x:c>
      <x:c r="C259" s="64" t="n">
        <x:v>2</x:v>
      </x:c>
      <x:c r="D259" s="64" t="str">
        <x:v>EA</x:v>
      </x:c>
      <x:c r="E259" s="64"/>
      <x:c r="F259" s="64"/>
      <x:c r="G259" s="54" t="str">
        <x:v>RECONSTRUCTED</x:v>
      </x:c>
      <x:c r="H259"/>
    </x:row>
    <x:row r="260">
      <x:c r="A260" s="54" t="str">
        <x:v>PRT-0088</x:v>
      </x:c>
      <x:c r="B260" s="54" t="str">
        <x:v>Bower Anchor</x:v>
      </x:c>
      <x:c r="C260" s="64" t="n">
        <x:v>2</x:v>
      </x:c>
      <x:c r="D260" s="64" t="str">
        <x:v>EA</x:v>
      </x:c>
      <x:c r="E260" s="64" t="n">
        <x:v>2200</x:v>
      </x:c>
      <x:c r="F260" s="64" t="n">
        <x:v>4400</x:v>
      </x:c>
      <x:c r="G260" s="54" t="str">
        <x:v>RECONSTRUCTED</x:v>
      </x:c>
      <x:c r="H260"/>
    </x:row>
    <x:row r="261">
      <x:c r="A261" s="54" t="str">
        <x:v>PRT-0091</x:v>
      </x:c>
      <x:c r="B261" s="54" t="str">
        <x:v>Kedge Anchor</x:v>
      </x:c>
      <x:c r="C261" s="64" t="n">
        <x:v>2</x:v>
      </x:c>
      <x:c r="D261" s="64" t="str">
        <x:v>EA</x:v>
      </x:c>
      <x:c r="E261" s="64" t="n">
        <x:v>350</x:v>
      </x:c>
      <x:c r="F261" s="64" t="n">
        <x:v>700</x:v>
      </x:c>
      <x:c r="G261" s="54" t="str">
        <x:v>RECONSTRUCTED</x:v>
      </x:c>
      <x:c r="H261"/>
    </x:row>
    <x:row r="262">
      <x:c r="A262" s="54" t="str">
        <x:v>PRT-0092</x:v>
      </x:c>
      <x:c r="B262" s="54" t="str">
        <x:v>Bower Cable, 600 ft</x:v>
      </x:c>
      <x:c r="C262" s="64" t="n">
        <x:v>2</x:v>
      </x:c>
      <x:c r="D262" s="64" t="str">
        <x:v>EA</x:v>
      </x:c>
      <x:c r="E262" s="64" t="n">
        <x:v>1800</x:v>
      </x:c>
      <x:c r="F262" s="64" t="n">
        <x:v>3600</x:v>
      </x:c>
      <x:c r="G262" s="54" t="str">
        <x:v>RECONSTRUCTED</x:v>
      </x:c>
      <x:c r="H262"/>
    </x:row>
    <x:row r="263">
      <x:c r="A263" s="54" t="str">
        <x:v>PRT-0095</x:v>
      </x:c>
      <x:c r="B263" s="54" t="str">
        <x:v>Kedge Hawser, 300 ft</x:v>
      </x:c>
      <x:c r="C263" s="64" t="n">
        <x:v>2</x:v>
      </x:c>
      <x:c r="D263" s="64" t="str">
        <x:v>EA</x:v>
      </x:c>
      <x:c r="E263" s="64" t="n">
        <x:v>250</x:v>
      </x:c>
      <x:c r="F263" s="64" t="n">
        <x:v>500</x:v>
      </x:c>
      <x:c r="G263" s="54" t="str">
        <x:v>RECONSTRUCTED</x:v>
      </x:c>
      <x:c r="H263"/>
    </x:row>
    <x:row r="264">
      <x:c r="A264" s="54" t="str">
        <x:v>PRT-0107</x:v>
      </x:c>
      <x:c r="B264" s="54" t="str">
        <x:v>Twenty-Eight-Second Log Glass</x:v>
      </x:c>
      <x:c r="C264" s="64" t="n">
        <x:v>2</x:v>
      </x:c>
      <x:c r="D264" s="64" t="str">
        <x:v>EA</x:v>
      </x:c>
      <x:c r="E264" s="64"/>
      <x:c r="F264" s="64"/>
      <x:c r="G264" s="54" t="str">
        <x:v>RECONSTRUCTED</x:v>
      </x:c>
      <x:c r="H264"/>
    </x:row>
    <x:row r="265">
      <x:c r="A265" s="54" t="str">
        <x:v>PRT-0108</x:v>
      </x:c>
      <x:c r="B265" s="54" t="str">
        <x:v>Draw-Tube Spyglass</x:v>
      </x:c>
      <x:c r="C265" s="64" t="n">
        <x:v>2</x:v>
      </x:c>
      <x:c r="D265" s="64" t="str">
        <x:v>EA</x:v>
      </x:c>
      <x:c r="E265" s="64"/>
      <x:c r="F265" s="64"/>
      <x:c r="G265" s="54" t="str">
        <x:v>RECONSTRUCTED</x:v>
      </x:c>
      <x:c r="H265"/>
    </x:row>
    <x:row r="266">
      <x:c r="A266" s="54" t="str">
        <x:v>PRT-0109</x:v>
      </x:c>
      <x:c r="B266" s="54" t="str">
        <x:v>Sounding Lead</x:v>
      </x:c>
      <x:c r="C266" s="64" t="n">
        <x:v>2</x:v>
      </x:c>
      <x:c r="D266" s="64" t="str">
        <x:v>EA</x:v>
      </x:c>
      <x:c r="E266" s="64" t="n">
        <x:v>14</x:v>
      </x:c>
      <x:c r="F266" s="64" t="n">
        <x:v>28</x:v>
      </x:c>
      <x:c r="G266" s="54" t="str">
        <x:v>RECOVERED</x:v>
      </x:c>
      <x:c r="H266"/>
    </x:row>
    <x:row r="267">
      <x:c r="A267" s="54" t="str">
        <x:v>PRT-0110</x:v>
      </x:c>
      <x:c r="B267" s="54" t="str">
        <x:v>Sounding Line, 100 fathoms</x:v>
      </x:c>
      <x:c r="C267" s="64" t="n">
        <x:v>2</x:v>
      </x:c>
      <x:c r="D267" s="64" t="str">
        <x:v>EA</x:v>
      </x:c>
      <x:c r="E267" s="64" t="n">
        <x:v>22</x:v>
      </x:c>
      <x:c r="F267" s="64" t="n">
        <x:v>44</x:v>
      </x:c>
      <x:c r="G267" s="54" t="str">
        <x:v>RECONSTRUCTED</x:v>
      </x:c>
      <x:c r="H267"/>
    </x:row>
    <x:row r="268">
      <x:c r="A268" s="54" t="str">
        <x:v>PRT-0112</x:v>
      </x:c>
      <x:c r="B268" s="54" t="str">
        <x:v>Broad Axe</x:v>
      </x:c>
      <x:c r="C268" s="64" t="n">
        <x:v>2</x:v>
      </x:c>
      <x:c r="D268" s="64" t="str">
        <x:v>EA</x:v>
      </x:c>
      <x:c r="E268" s="64" t="n">
        <x:v>7</x:v>
      </x:c>
      <x:c r="F268" s="64" t="n">
        <x:v>14</x:v>
      </x:c>
      <x:c r="G268" s="54" t="str">
        <x:v>RECONSTRUCTED</x:v>
      </x:c>
      <x:c r="H268"/>
    </x:row>
    <x:row r="269">
      <x:c r="A269" s="54" t="str">
        <x:v>PRT-0129</x:v>
      </x:c>
      <x:c r="B269" s="54" t="str">
        <x:v>Pewter Urethral Syringe</x:v>
      </x:c>
      <x:c r="C269" s="64" t="n">
        <x:v>2</x:v>
      </x:c>
      <x:c r="D269" s="64" t="str">
        <x:v>EA</x:v>
      </x:c>
      <x:c r="E269" s="64" t="n">
        <x:v>0.8</x:v>
      </x:c>
      <x:c r="F269" s="64" t="n">
        <x:v>1.6</x:v>
      </x:c>
      <x:c r="G269" s="54" t="str">
        <x:v>RECOVERED</x:v>
      </x:c>
      <x:c r="H269"/>
    </x:row>
    <x:row r="270">
      <x:c r="A270" s="54" t="str">
        <x:v>PRT-0130</x:v>
      </x:c>
      <x:c r="B270" s="54" t="str">
        <x:v>Surgeon's Bone Saw</x:v>
      </x:c>
      <x:c r="C270" s="64" t="n">
        <x:v>2</x:v>
      </x:c>
      <x:c r="D270" s="64" t="str">
        <x:v>EA</x:v>
      </x:c>
      <x:c r="E270" s="64" t="n">
        <x:v>2</x:v>
      </x:c>
      <x:c r="F270" s="64" t="n">
        <x:v>4</x:v>
      </x:c>
      <x:c r="G270" s="54" t="str">
        <x:v>RECONSTRUCTED</x:v>
      </x:c>
      <x:c r="H270"/>
    </x:row>
    <x:row r="271">
      <x:c r="A271" s="54" t="str">
        <x:v>QAR-0039</x:v>
      </x:c>
      <x:c r="B271" s="54" t="str">
        <x:v>Main Course Sail</x:v>
      </x:c>
      <x:c r="C271" s="64" t="n">
        <x:v>2</x:v>
      </x:c>
      <x:c r="D271" s="64" t="str">
        <x:v>EA</x:v>
      </x:c>
      <x:c r="E271" s="64" t="n">
        <x:v>450</x:v>
      </x:c>
      <x:c r="F271" s="64" t="n">
        <x:v>900</x:v>
      </x:c>
      <x:c r="G271" s="54" t="str">
        <x:v>RECONSTRUCTED</x:v>
      </x:c>
      <x:c r="H271"/>
    </x:row>
    <x:row r="272">
      <x:c r="A272" s="54" t="str">
        <x:v>QAR-0040</x:v>
      </x:c>
      <x:c r="B272" s="54" t="str">
        <x:v>Main Topsail</x:v>
      </x:c>
      <x:c r="C272" s="64" t="n">
        <x:v>2</x:v>
      </x:c>
      <x:c r="D272" s="64" t="str">
        <x:v>EA</x:v>
      </x:c>
      <x:c r="E272" s="64" t="n">
        <x:v>280</x:v>
      </x:c>
      <x:c r="F272" s="64" t="n">
        <x:v>560</x:v>
      </x:c>
      <x:c r="G272" s="54" t="str">
        <x:v>RECONSTRUCTED</x:v>
      </x:c>
      <x:c r="H272"/>
    </x:row>
    <x:row r="273">
      <x:c r="A273" s="54" t="str">
        <x:v>QAR-0042</x:v>
      </x:c>
      <x:c r="B273" s="54" t="str">
        <x:v>Fore Course Sail</x:v>
      </x:c>
      <x:c r="C273" s="64" t="n">
        <x:v>2</x:v>
      </x:c>
      <x:c r="D273" s="64" t="str">
        <x:v>EA</x:v>
      </x:c>
      <x:c r="E273" s="64" t="n">
        <x:v>450</x:v>
      </x:c>
      <x:c r="F273" s="64" t="n">
        <x:v>900</x:v>
      </x:c>
      <x:c r="G273" s="54" t="str">
        <x:v>RECONSTRUCTED</x:v>
      </x:c>
      <x:c r="H273"/>
    </x:row>
    <x:row r="274">
      <x:c r="A274" s="54" t="str">
        <x:v>QAR-0043</x:v>
      </x:c>
      <x:c r="B274" s="54" t="str">
        <x:v>Fore Topsail</x:v>
      </x:c>
      <x:c r="C274" s="64" t="n">
        <x:v>2</x:v>
      </x:c>
      <x:c r="D274" s="64" t="str">
        <x:v>EA</x:v>
      </x:c>
      <x:c r="E274" s="64" t="n">
        <x:v>280</x:v>
      </x:c>
      <x:c r="F274" s="64" t="n">
        <x:v>560</x:v>
      </x:c>
      <x:c r="G274" s="54" t="str">
        <x:v>RECONSTRUCTED</x:v>
      </x:c>
      <x:c r="H274"/>
    </x:row>
    <x:row r="275">
      <x:c r="A275" s="54" t="str">
        <x:v>QAR-0053</x:v>
      </x:c>
      <x:c r="B275" s="54" t="str">
        <x:v>Blackbeard Reconstruction Ensign</x:v>
      </x:c>
      <x:c r="C275" s="64" t="n">
        <x:v>2</x:v>
      </x:c>
      <x:c r="D275" s="64" t="str">
        <x:v>EA</x:v>
      </x:c>
      <x:c r="E275" s="64"/>
      <x:c r="F275" s="64"/>
      <x:c r="G275" s="54" t="str">
        <x:v>FICTIONAL</x:v>
      </x:c>
      <x:c r="H275"/>
    </x:row>
    <x:row r="276">
      <x:c r="A276" s="54" t="str">
        <x:v>ASM-0024</x:v>
      </x:c>
      <x:c r="B276" s="54" t="str">
        <x:v>Longboat Hull</x:v>
      </x:c>
      <x:c r="C276" s="64" t="n">
        <x:v>1</x:v>
      </x:c>
      <x:c r="D276" s="64" t="str">
        <x:v>EA</x:v>
      </x:c>
      <x:c r="E276" s="64"/>
      <x:c r="F276" s="64"/>
      <x:c r="G276" s="54" t="str">
        <x:v>RECONSTRUCTED</x:v>
      </x:c>
      <x:c r="H276"/>
    </x:row>
    <x:row r="277">
      <x:c r="A277" s="54" t="str">
        <x:v>ASM-0025</x:v>
      </x:c>
      <x:c r="B277" s="54" t="str">
        <x:v>Yawl Hull</x:v>
      </x:c>
      <x:c r="C277" s="64" t="n">
        <x:v>1</x:v>
      </x:c>
      <x:c r="D277" s="64" t="str">
        <x:v>EA</x:v>
      </x:c>
      <x:c r="E277" s="64"/>
      <x:c r="F277" s="64"/>
      <x:c r="G277" s="54" t="str">
        <x:v>RECONSTRUCTED</x:v>
      </x:c>
      <x:c r="H277"/>
    </x:row>
    <x:row r="278">
      <x:c r="A278" s="54" t="str">
        <x:v>ASM-0026</x:v>
      </x:c>
      <x:c r="B278" s="54" t="str">
        <x:v>Jolly Boat Hull</x:v>
      </x:c>
      <x:c r="C278" s="64" t="n">
        <x:v>1</x:v>
      </x:c>
      <x:c r="D278" s="64" t="str">
        <x:v>EA</x:v>
      </x:c>
      <x:c r="E278" s="64"/>
      <x:c r="F278" s="64"/>
      <x:c r="G278" s="54" t="str">
        <x:v>RECONSTRUCTED</x:v>
      </x:c>
      <x:c r="H278"/>
    </x:row>
    <x:row r="279">
      <x:c r="A279" s="54" t="str">
        <x:v>ASM-0032</x:v>
      </x:c>
      <x:c r="B279" s="54" t="str">
        <x:v>Cross-Staff and Universal Mount</x:v>
      </x:c>
      <x:c r="C279" s="64" t="n">
        <x:v>1</x:v>
      </x:c>
      <x:c r="D279" s="64" t="str">
        <x:v>EA</x:v>
      </x:c>
      <x:c r="E279" s="64"/>
      <x:c r="F279" s="64"/>
      <x:c r="G279" s="54" t="str">
        <x:v>RECOVERED</x:v>
      </x:c>
      <x:c r="H279"/>
    </x:row>
    <x:row r="280">
      <x:c r="A280" s="54" t="str">
        <x:v>ASM-0034</x:v>
      </x:c>
      <x:c r="B280" s="54" t="str">
        <x:v>Traverse Board</x:v>
      </x:c>
      <x:c r="C280" s="64" t="n">
        <x:v>1</x:v>
      </x:c>
      <x:c r="D280" s="64" t="str">
        <x:v>EA</x:v>
      </x:c>
      <x:c r="E280" s="64"/>
      <x:c r="F280" s="64"/>
      <x:c r="G280" s="54" t="str">
        <x:v>RECONSTRUCTED</x:v>
      </x:c>
      <x:c r="H280"/>
    </x:row>
    <x:row r="281">
      <x:c r="A281" s="54" t="str">
        <x:v>ASM-0037</x:v>
      </x:c>
      <x:c r="B281" s="54" t="str">
        <x:v>Mechanical Jack</x:v>
      </x:c>
      <x:c r="C281" s="64" t="n">
        <x:v>1</x:v>
      </x:c>
      <x:c r="D281" s="64" t="str">
        <x:v>EA</x:v>
      </x:c>
      <x:c r="E281" s="64" t="n">
        <x:v>80</x:v>
      </x:c>
      <x:c r="F281" s="64" t="n">
        <x:v>80</x:v>
      </x:c>
      <x:c r="G281" s="54" t="str">
        <x:v>RECOVERED</x:v>
      </x:c>
      <x:c r="H281"/>
    </x:row>
    <x:row r="282">
      <x:c r="A282" s="54" t="str">
        <x:v>ASM-0038</x:v>
      </x:c>
      <x:c r="B282" s="54" t="str">
        <x:v>Portable Grindstone Assembly</x:v>
      </x:c>
      <x:c r="C282" s="64" t="n">
        <x:v>1</x:v>
      </x:c>
      <x:c r="D282" s="64" t="str">
        <x:v>EA</x:v>
      </x:c>
      <x:c r="E282" s="64" t="n">
        <x:v>95</x:v>
      </x:c>
      <x:c r="F282" s="64" t="n">
        <x:v>95</x:v>
      </x:c>
      <x:c r="G282" s="54" t="str">
        <x:v>RECOVERED</x:v>
      </x:c>
      <x:c r="H282"/>
    </x:row>
    <x:row r="283">
      <x:c r="A283" s="54" t="str">
        <x:v>ASM-0039</x:v>
      </x:c>
      <x:c r="B283" s="54" t="str">
        <x:v>Mortar and Pestle</x:v>
      </x:c>
      <x:c r="C283" s="64" t="n">
        <x:v>1</x:v>
      </x:c>
      <x:c r="D283" s="64" t="str">
        <x:v>EA</x:v>
      </x:c>
      <x:c r="E283" s="64" t="n">
        <x:v>8</x:v>
      </x:c>
      <x:c r="F283" s="64" t="n">
        <x:v>8</x:v>
      </x:c>
      <x:c r="G283" s="54" t="str">
        <x:v>RECOVERED</x:v>
      </x:c>
      <x:c r="H283"/>
    </x:row>
    <x:row r="284">
      <x:c r="A284" s="54" t="str">
        <x:v>ASM-0041</x:v>
      </x:c>
      <x:c r="B284" s="54" t="str">
        <x:v>Brick and Iron Galley Hearth</x:v>
      </x:c>
      <x:c r="C284" s="64" t="n">
        <x:v>1</x:v>
      </x:c>
      <x:c r="D284" s="64" t="str">
        <x:v>EA</x:v>
      </x:c>
      <x:c r="E284" s="64" t="n">
        <x:v>900</x:v>
      </x:c>
      <x:c r="F284" s="64" t="n">
        <x:v>900</x:v>
      </x:c>
      <x:c r="G284" s="54" t="str">
        <x:v>RECONSTRUCTED</x:v>
      </x:c>
      <x:c r="H284"/>
    </x:row>
    <x:row r="285">
      <x:c r="A285" s="54" t="str">
        <x:v>ASM-0057</x:v>
      </x:c>
      <x:c r="B285" s="54" t="str">
        <x:v>Folding Cabin Table</x:v>
      </x:c>
      <x:c r="C285" s="64" t="n">
        <x:v>1</x:v>
      </x:c>
      <x:c r="D285" s="64" t="str">
        <x:v>EA</x:v>
      </x:c>
      <x:c r="E285" s="64"/>
      <x:c r="F285" s="64"/>
      <x:c r="G285" s="54" t="str">
        <x:v>RECONSTRUCTED</x:v>
      </x:c>
      <x:c r="H285"/>
    </x:row>
    <x:row r="286">
      <x:c r="A286" s="54" t="str">
        <x:v>ASM-0059</x:v>
      </x:c>
      <x:c r="B286" s="54" t="str">
        <x:v>Captain's Berth and Bedding</x:v>
      </x:c>
      <x:c r="C286" s="64" t="n">
        <x:v>1</x:v>
      </x:c>
      <x:c r="D286" s="64" t="str">
        <x:v>EA</x:v>
      </x:c>
      <x:c r="E286" s="64"/>
      <x:c r="F286" s="64"/>
      <x:c r="G286" s="54" t="str">
        <x:v>RECONSTRUCTED</x:v>
      </x:c>
      <x:c r="H286"/>
    </x:row>
    <x:row r="287">
      <x:c r="A287" s="54" t="str">
        <x:v>ASM-0060</x:v>
      </x:c>
      <x:c r="B287" s="54" t="str">
        <x:v>Portable Writing Desk</x:v>
      </x:c>
      <x:c r="C287" s="64" t="n">
        <x:v>1</x:v>
      </x:c>
      <x:c r="D287" s="64" t="str">
        <x:v>EA</x:v>
      </x:c>
      <x:c r="E287" s="64"/>
      <x:c r="F287" s="64"/>
      <x:c r="G287" s="54" t="str">
        <x:v>RECONSTRUCTED</x:v>
      </x:c>
      <x:c r="H287"/>
    </x:row>
    <x:row r="288">
      <x:c r="A288" s="54" t="str">
        <x:v>ASM-0061</x:v>
      </x:c>
      <x:c r="B288" s="54" t="str">
        <x:v>Portable Beam Scale</x:v>
      </x:c>
      <x:c r="C288" s="64" t="n">
        <x:v>1</x:v>
      </x:c>
      <x:c r="D288" s="64" t="str">
        <x:v>EA</x:v>
      </x:c>
      <x:c r="E288" s="64" t="n">
        <x:v>10</x:v>
      </x:c>
      <x:c r="F288" s="64" t="n">
        <x:v>10</x:v>
      </x:c>
      <x:c r="G288" s="54" t="str">
        <x:v>RECOVERED</x:v>
      </x:c>
      <x:c r="H288"/>
    </x:row>
    <x:row r="289">
      <x:c r="A289" s="54" t="str">
        <x:v>KIT-0046</x:v>
      </x:c>
      <x:c r="B289" s="54" t="str">
        <x:v>Brass Trade Weight Set</x:v>
      </x:c>
      <x:c r="C289" s="64" t="n">
        <x:v>1</x:v>
      </x:c>
      <x:c r="D289" s="64" t="str">
        <x:v>EA</x:v>
      </x:c>
      <x:c r="E289" s="64" t="n">
        <x:v>8</x:v>
      </x:c>
      <x:c r="F289" s="64" t="n">
        <x:v>8</x:v>
      </x:c>
      <x:c r="G289" s="54" t="str">
        <x:v>RECOVERED</x:v>
      </x:c>
      <x:c r="H289"/>
    </x:row>
    <x:row r="290">
      <x:c r="A290" s="54" t="str">
        <x:v>PRT-0005</x:v>
      </x:c>
      <x:c r="B290" s="54" t="str">
        <x:v>Ship's Bell</x:v>
      </x:c>
      <x:c r="C290" s="64" t="n">
        <x:v>1</x:v>
      </x:c>
      <x:c r="D290" s="64" t="str">
        <x:v>EA</x:v>
      </x:c>
      <x:c r="E290" s="64" t="n">
        <x:v>35</x:v>
      </x:c>
      <x:c r="F290" s="64" t="n">
        <x:v>35</x:v>
      </x:c>
      <x:c r="G290" s="54" t="str">
        <x:v>RECOVERED</x:v>
      </x:c>
      <x:c r="H290"/>
    </x:row>
    <x:row r="291">
      <x:c r="A291" s="54" t="str">
        <x:v>PRT-0065</x:v>
      </x:c>
      <x:c r="B291" s="54" t="str">
        <x:v>Mizzen Stay</x:v>
      </x:c>
      <x:c r="C291" s="64" t="n">
        <x:v>1</x:v>
      </x:c>
      <x:c r="D291" s="64" t="str">
        <x:v>EA</x:v>
      </x:c>
      <x:c r="E291" s="64"/>
      <x:c r="F291" s="64"/>
      <x:c r="G291" s="54" t="str">
        <x:v>RECONSTRUCTED</x:v>
      </x:c>
      <x:c r="H291"/>
    </x:row>
    <x:row r="292">
      <x:c r="A292" s="54" t="str">
        <x:v>PRT-0089</x:v>
      </x:c>
      <x:c r="B292" s="54" t="str">
        <x:v>Sheet Anchor</x:v>
      </x:c>
      <x:c r="C292" s="64" t="n">
        <x:v>1</x:v>
      </x:c>
      <x:c r="D292" s="64" t="str">
        <x:v>EA</x:v>
      </x:c>
      <x:c r="E292" s="64" t="n">
        <x:v>2600</x:v>
      </x:c>
      <x:c r="F292" s="64" t="n">
        <x:v>2600</x:v>
      </x:c>
      <x:c r="G292" s="54" t="str">
        <x:v>RECONSTRUCTED</x:v>
      </x:c>
      <x:c r="H292"/>
    </x:row>
    <x:row r="293">
      <x:c r="A293" s="54" t="str">
        <x:v>PRT-0090</x:v>
      </x:c>
      <x:c r="B293" s="54" t="str">
        <x:v>Stream Anchor</x:v>
      </x:c>
      <x:c r="C293" s="64" t="n">
        <x:v>1</x:v>
      </x:c>
      <x:c r="D293" s="64" t="str">
        <x:v>EA</x:v>
      </x:c>
      <x:c r="E293" s="64" t="n">
        <x:v>900</x:v>
      </x:c>
      <x:c r="F293" s="64" t="n">
        <x:v>900</x:v>
      </x:c>
      <x:c r="G293" s="54" t="str">
        <x:v>RECONSTRUCTED</x:v>
      </x:c>
      <x:c r="H293"/>
    </x:row>
    <x:row r="294">
      <x:c r="A294" s="54" t="str">
        <x:v>PRT-0093</x:v>
      </x:c>
      <x:c r="B294" s="54" t="str">
        <x:v>Sheet Cable, 600 ft</x:v>
      </x:c>
      <x:c r="C294" s="64" t="n">
        <x:v>1</x:v>
      </x:c>
      <x:c r="D294" s="64" t="str">
        <x:v>EA</x:v>
      </x:c>
      <x:c r="E294" s="64" t="n">
        <x:v>2100</x:v>
      </x:c>
      <x:c r="F294" s="64" t="n">
        <x:v>2100</x:v>
      </x:c>
      <x:c r="G294" s="54" t="str">
        <x:v>RECONSTRUCTED</x:v>
      </x:c>
      <x:c r="H294"/>
    </x:row>
    <x:row r="295">
      <x:c r="A295" s="54" t="str">
        <x:v>PRT-0094</x:v>
      </x:c>
      <x:c r="B295" s="54" t="str">
        <x:v>Stream Cable, 400 ft</x:v>
      </x:c>
      <x:c r="C295" s="64" t="n">
        <x:v>1</x:v>
      </x:c>
      <x:c r="D295" s="64" t="str">
        <x:v>EA</x:v>
      </x:c>
      <x:c r="E295" s="64" t="n">
        <x:v>650</x:v>
      </x:c>
      <x:c r="F295" s="64" t="n">
        <x:v>650</x:v>
      </x:c>
      <x:c r="G295" s="54" t="str">
        <x:v>RECONSTRUCTED</x:v>
      </x:c>
      <x:c r="H295"/>
    </x:row>
    <x:row r="296">
      <x:c r="A296" s="54" t="str">
        <x:v>PRT-0103</x:v>
      </x:c>
      <x:c r="B296" s="54" t="str">
        <x:v>Backstaff</x:v>
      </x:c>
      <x:c r="C296" s="64" t="n">
        <x:v>1</x:v>
      </x:c>
      <x:c r="D296" s="64" t="str">
        <x:v>EA</x:v>
      </x:c>
      <x:c r="E296" s="64"/>
      <x:c r="F296" s="64"/>
      <x:c r="G296" s="54" t="str">
        <x:v>RECONSTRUCTED</x:v>
      </x:c>
      <x:c r="H296"/>
    </x:row>
    <x:row r="297">
      <x:c r="A297" s="54" t="str">
        <x:v>PRT-0104</x:v>
      </x:c>
      <x:c r="B297" s="54" t="str">
        <x:v>Brass Navigational Sector</x:v>
      </x:c>
      <x:c r="C297" s="64" t="n">
        <x:v>1</x:v>
      </x:c>
      <x:c r="D297" s="64" t="str">
        <x:v>EA</x:v>
      </x:c>
      <x:c r="E297" s="64"/>
      <x:c r="F297" s="64"/>
      <x:c r="G297" s="54" t="str">
        <x:v>RECOVERED</x:v>
      </x:c>
      <x:c r="H297"/>
    </x:row>
    <x:row r="298">
      <x:c r="A298" s="54" t="str">
        <x:v>PRT-0111</x:v>
      </x:c>
      <x:c r="B298" s="54" t="str">
        <x:v>Brass Surveying Sight</x:v>
      </x:c>
      <x:c r="C298" s="64" t="n">
        <x:v>1</x:v>
      </x:c>
      <x:c r="D298" s="64" t="str">
        <x:v>EA</x:v>
      </x:c>
      <x:c r="E298" s="64"/>
      <x:c r="F298" s="64"/>
      <x:c r="G298" s="54" t="str">
        <x:v>RECOVERED</x:v>
      </x:c>
      <x:c r="H298"/>
    </x:row>
    <x:row r="299">
      <x:c r="A299" s="54" t="str">
        <x:v>PRT-0114</x:v>
      </x:c>
      <x:c r="B299" s="54" t="str">
        <x:v>Pit Saw</x:v>
      </x:c>
      <x:c r="C299" s="64" t="n">
        <x:v>1</x:v>
      </x:c>
      <x:c r="D299" s="64" t="str">
        <x:v>EA</x:v>
      </x:c>
      <x:c r="E299" s="64" t="n">
        <x:v>18</x:v>
      </x:c>
      <x:c r="F299" s="64" t="n">
        <x:v>18</x:v>
      </x:c>
      <x:c r="G299" s="54" t="str">
        <x:v>RECONSTRUCTED</x:v>
      </x:c>
      <x:c r="H299"/>
    </x:row>
    <x:row r="300">
      <x:c r="A300" s="54" t="str">
        <x:v>QAR-0019</x:v>
      </x:c>
      <x:c r="B300" s="54" t="str">
        <x:v>Keel and Keelson Assembly</x:v>
      </x:c>
      <x:c r="C300" s="64" t="n">
        <x:v>1</x:v>
      </x:c>
      <x:c r="D300" s="64" t="str">
        <x:v>EA</x:v>
      </x:c>
      <x:c r="E300" s="64"/>
      <x:c r="F300" s="64"/>
      <x:c r="G300" s="54" t="str">
        <x:v>RECONSTRUCTED</x:v>
      </x:c>
      <x:c r="H300"/>
    </x:row>
    <x:row r="301">
      <x:c r="A301" s="54" t="str">
        <x:v>QAR-0020</x:v>
      </x:c>
      <x:c r="B301" s="54" t="str">
        <x:v>Paired Frame Component Set</x:v>
      </x:c>
      <x:c r="C301" s="64" t="n">
        <x:v>1</x:v>
      </x:c>
      <x:c r="D301" s="64" t="str">
        <x:v>EA</x:v>
      </x:c>
      <x:c r="E301" s="64"/>
      <x:c r="F301" s="64"/>
      <x:c r="G301" s="54" t="str">
        <x:v>RECOVERED</x:v>
      </x:c>
      <x:c r="H301"/>
    </x:row>
    <x:row r="302">
      <x:c r="A302" s="54" t="str">
        <x:v>QAR-0021</x:v>
      </x:c>
      <x:c r="B302" s="54" t="str">
        <x:v>Outer Hull Planking Set</x:v>
      </x:c>
      <x:c r="C302" s="64" t="n">
        <x:v>1</x:v>
      </x:c>
      <x:c r="D302" s="64" t="str">
        <x:v>EA</x:v>
      </x:c>
      <x:c r="E302" s="64"/>
      <x:c r="F302" s="64"/>
      <x:c r="G302" s="54" t="str">
        <x:v>RECOVERED</x:v>
      </x:c>
      <x:c r="H302"/>
    </x:row>
    <x:row r="303">
      <x:c r="A303" s="54" t="str">
        <x:v>QAR-0022</x:v>
      </x:c>
      <x:c r="B303" s="54" t="str">
        <x:v>Sacrificial Hull Sheathing Set</x:v>
      </x:c>
      <x:c r="C303" s="64" t="n">
        <x:v>1</x:v>
      </x:c>
      <x:c r="D303" s="64" t="str">
        <x:v>EA</x:v>
      </x:c>
      <x:c r="E303" s="64"/>
      <x:c r="F303" s="64"/>
      <x:c r="G303" s="54" t="str">
        <x:v>RECOVERED</x:v>
      </x:c>
      <x:c r="H303"/>
    </x:row>
    <x:row r="304">
      <x:c r="A304" s="54" t="str">
        <x:v>QAR-0023</x:v>
      </x:c>
      <x:c r="B304" s="54" t="str">
        <x:v>Rudder Blade and Stock</x:v>
      </x:c>
      <x:c r="C304" s="64" t="n">
        <x:v>1</x:v>
      </x:c>
      <x:c r="D304" s="64" t="str">
        <x:v>EA</x:v>
      </x:c>
      <x:c r="E304" s="64"/>
      <x:c r="F304" s="64"/>
      <x:c r="G304" s="54" t="str">
        <x:v>RECONSTRUCTED</x:v>
      </x:c>
      <x:c r="H304"/>
    </x:row>
    <x:row r="305">
      <x:c r="A305" s="54" t="str">
        <x:v>QAR-0024</x:v>
      </x:c>
      <x:c r="B305" s="54" t="str">
        <x:v>Tiller Assembly</x:v>
      </x:c>
      <x:c r="C305" s="64" t="n">
        <x:v>1</x:v>
      </x:c>
      <x:c r="D305" s="64" t="str">
        <x:v>EA</x:v>
      </x:c>
      <x:c r="E305" s="64"/>
      <x:c r="F305" s="64"/>
      <x:c r="G305" s="54" t="str">
        <x:v>RECONSTRUCTED</x:v>
      </x:c>
      <x:c r="H305"/>
    </x:row>
    <x:row r="306">
      <x:c r="A306" s="54" t="str">
        <x:v>QAR-0027</x:v>
      </x:c>
      <x:c r="B306" s="54" t="str">
        <x:v>Main Mast Assembly</x:v>
      </x:c>
      <x:c r="C306" s="64" t="n">
        <x:v>1</x:v>
      </x:c>
      <x:c r="D306" s="64" t="str">
        <x:v>EA</x:v>
      </x:c>
      <x:c r="E306" s="64"/>
      <x:c r="F306" s="64"/>
      <x:c r="G306" s="54" t="str">
        <x:v>RECONSTRUCTED</x:v>
      </x:c>
      <x:c r="H306"/>
    </x:row>
    <x:row r="307">
      <x:c r="A307" s="54" t="str">
        <x:v>QAR-0028</x:v>
      </x:c>
      <x:c r="B307" s="54" t="str">
        <x:v>Fore Mast Assembly</x:v>
      </x:c>
      <x:c r="C307" s="64" t="n">
        <x:v>1</x:v>
      </x:c>
      <x:c r="D307" s="64" t="str">
        <x:v>EA</x:v>
      </x:c>
      <x:c r="E307" s="64"/>
      <x:c r="F307" s="64"/>
      <x:c r="G307" s="54" t="str">
        <x:v>RECONSTRUCTED</x:v>
      </x:c>
      <x:c r="H307"/>
    </x:row>
    <x:row r="308">
      <x:c r="A308" s="54" t="str">
        <x:v>QAR-0029</x:v>
      </x:c>
      <x:c r="B308" s="54" t="str">
        <x:v>Mizzen Mast Assembly</x:v>
      </x:c>
      <x:c r="C308" s="64" t="n">
        <x:v>1</x:v>
      </x:c>
      <x:c r="D308" s="64" t="str">
        <x:v>EA</x:v>
      </x:c>
      <x:c r="E308" s="64"/>
      <x:c r="F308" s="64"/>
      <x:c r="G308" s="54" t="str">
        <x:v>RECONSTRUCTED</x:v>
      </x:c>
      <x:c r="H308"/>
    </x:row>
    <x:row r="309">
      <x:c r="A309" s="54" t="str">
        <x:v>QAR-0030</x:v>
      </x:c>
      <x:c r="B309" s="54" t="str">
        <x:v>Bowsprit Assembly</x:v>
      </x:c>
      <x:c r="C309" s="64" t="n">
        <x:v>1</x:v>
      </x:c>
      <x:c r="D309" s="64" t="str">
        <x:v>EA</x:v>
      </x:c>
      <x:c r="E309" s="64"/>
      <x:c r="F309" s="64"/>
      <x:c r="G309" s="54" t="str">
        <x:v>RECONSTRUCTED</x:v>
      </x:c>
      <x:c r="H309"/>
    </x:row>
    <x:row r="310">
      <x:c r="A310" s="54" t="str">
        <x:v>QAR-0031</x:v>
      </x:c>
      <x:c r="B310" s="54" t="str">
        <x:v>Main Yard</x:v>
      </x:c>
      <x:c r="C310" s="64" t="n">
        <x:v>1</x:v>
      </x:c>
      <x:c r="D310" s="64" t="str">
        <x:v>EA</x:v>
      </x:c>
      <x:c r="E310" s="64"/>
      <x:c r="F310" s="64"/>
      <x:c r="G310" s="54" t="str">
        <x:v>RECONSTRUCTED</x:v>
      </x:c>
      <x:c r="H310"/>
    </x:row>
    <x:row r="311">
      <x:c r="A311" s="54" t="str">
        <x:v>QAR-0032</x:v>
      </x:c>
      <x:c r="B311" s="54" t="str">
        <x:v>Main Topsail Yard</x:v>
      </x:c>
      <x:c r="C311" s="64" t="n">
        <x:v>1</x:v>
      </x:c>
      <x:c r="D311" s="64" t="str">
        <x:v>EA</x:v>
      </x:c>
      <x:c r="E311" s="64"/>
      <x:c r="F311" s="64"/>
      <x:c r="G311" s="54" t="str">
        <x:v>RECONSTRUCTED</x:v>
      </x:c>
      <x:c r="H311"/>
    </x:row>
    <x:row r="312">
      <x:c r="A312" s="54" t="str">
        <x:v>QAR-0033</x:v>
      </x:c>
      <x:c r="B312" s="54" t="str">
        <x:v>Main Topgallant Yard</x:v>
      </x:c>
      <x:c r="C312" s="64" t="n">
        <x:v>1</x:v>
      </x:c>
      <x:c r="D312" s="64" t="str">
        <x:v>EA</x:v>
      </x:c>
      <x:c r="E312" s="64"/>
      <x:c r="F312" s="64"/>
      <x:c r="G312" s="54" t="str">
        <x:v>RECONSTRUCTED</x:v>
      </x:c>
      <x:c r="H312"/>
    </x:row>
    <x:row r="313">
      <x:c r="A313" s="54" t="str">
        <x:v>QAR-0034</x:v>
      </x:c>
      <x:c r="B313" s="54" t="str">
        <x:v>Fore Yard</x:v>
      </x:c>
      <x:c r="C313" s="64" t="n">
        <x:v>1</x:v>
      </x:c>
      <x:c r="D313" s="64" t="str">
        <x:v>EA</x:v>
      </x:c>
      <x:c r="E313" s="64"/>
      <x:c r="F313" s="64"/>
      <x:c r="G313" s="54" t="str">
        <x:v>RECONSTRUCTED</x:v>
      </x:c>
      <x:c r="H313"/>
    </x:row>
    <x:row r="314">
      <x:c r="A314" s="54" t="str">
        <x:v>QAR-0035</x:v>
      </x:c>
      <x:c r="B314" s="54" t="str">
        <x:v>Fore Topsail Yard</x:v>
      </x:c>
      <x:c r="C314" s="64" t="n">
        <x:v>1</x:v>
      </x:c>
      <x:c r="D314" s="64" t="str">
        <x:v>EA</x:v>
      </x:c>
      <x:c r="E314" s="64"/>
      <x:c r="F314" s="64"/>
      <x:c r="G314" s="54" t="str">
        <x:v>RECONSTRUCTED</x:v>
      </x:c>
      <x:c r="H314"/>
    </x:row>
    <x:row r="315">
      <x:c r="A315" s="54" t="str">
        <x:v>QAR-0036</x:v>
      </x:c>
      <x:c r="B315" s="54" t="str">
        <x:v>Fore Topgallant Yard</x:v>
      </x:c>
      <x:c r="C315" s="64" t="n">
        <x:v>1</x:v>
      </x:c>
      <x:c r="D315" s="64" t="str">
        <x:v>EA</x:v>
      </x:c>
      <x:c r="E315" s="64"/>
      <x:c r="F315" s="64"/>
      <x:c r="G315" s="54" t="str">
        <x:v>RECONSTRUCTED</x:v>
      </x:c>
      <x:c r="H315"/>
    </x:row>
    <x:row r="316">
      <x:c r="A316" s="54" t="str">
        <x:v>QAR-0037</x:v>
      </x:c>
      <x:c r="B316" s="54" t="str">
        <x:v>Mizzen Yard</x:v>
      </x:c>
      <x:c r="C316" s="64" t="n">
        <x:v>1</x:v>
      </x:c>
      <x:c r="D316" s="64" t="str">
        <x:v>EA</x:v>
      </x:c>
      <x:c r="E316" s="64"/>
      <x:c r="F316" s="64"/>
      <x:c r="G316" s="54" t="str">
        <x:v>RECONSTRUCTED</x:v>
      </x:c>
      <x:c r="H316"/>
    </x:row>
    <x:row r="317">
      <x:c r="A317" s="54" t="str">
        <x:v>QAR-0038</x:v>
      </x:c>
      <x:c r="B317" s="54" t="str">
        <x:v>Spritsail Yard</x:v>
      </x:c>
      <x:c r="C317" s="64" t="n">
        <x:v>1</x:v>
      </x:c>
      <x:c r="D317" s="64" t="str">
        <x:v>EA</x:v>
      </x:c>
      <x:c r="E317" s="64"/>
      <x:c r="F317" s="64"/>
      <x:c r="G317" s="54" t="str">
        <x:v>RECONSTRUCTED</x:v>
      </x:c>
      <x:c r="H317"/>
    </x:row>
    <x:row r="318">
      <x:c r="A318" s="54" t="str">
        <x:v>QAR-0041</x:v>
      </x:c>
      <x:c r="B318" s="54" t="str">
        <x:v>Main Topgallant Sail</x:v>
      </x:c>
      <x:c r="C318" s="64" t="n">
        <x:v>1</x:v>
      </x:c>
      <x:c r="D318" s="64" t="str">
        <x:v>EA</x:v>
      </x:c>
      <x:c r="E318" s="64" t="n">
        <x:v>170</x:v>
      </x:c>
      <x:c r="F318" s="64" t="n">
        <x:v>170</x:v>
      </x:c>
      <x:c r="G318" s="54" t="str">
        <x:v>RECONSTRUCTED</x:v>
      </x:c>
      <x:c r="H318"/>
    </x:row>
    <x:row r="319">
      <x:c r="A319" s="54" t="str">
        <x:v>QAR-0044</x:v>
      </x:c>
      <x:c r="B319" s="54" t="str">
        <x:v>Fore Topgallant Sail</x:v>
      </x:c>
      <x:c r="C319" s="64" t="n">
        <x:v>1</x:v>
      </x:c>
      <x:c r="D319" s="64" t="str">
        <x:v>EA</x:v>
      </x:c>
      <x:c r="E319" s="64" t="n">
        <x:v>170</x:v>
      </x:c>
      <x:c r="F319" s="64" t="n">
        <x:v>170</x:v>
      </x:c>
      <x:c r="G319" s="54" t="str">
        <x:v>RECONSTRUCTED</x:v>
      </x:c>
      <x:c r="H319"/>
    </x:row>
    <x:row r="320">
      <x:c r="A320" s="54" t="str">
        <x:v>QAR-0045</x:v>
      </x:c>
      <x:c r="B320" s="54" t="str">
        <x:v>Mizzen Sail</x:v>
      </x:c>
      <x:c r="C320" s="64" t="n">
        <x:v>1</x:v>
      </x:c>
      <x:c r="D320" s="64" t="str">
        <x:v>EA</x:v>
      </x:c>
      <x:c r="E320" s="64" t="n">
        <x:v>170</x:v>
      </x:c>
      <x:c r="F320" s="64" t="n">
        <x:v>170</x:v>
      </x:c>
      <x:c r="G320" s="54" t="str">
        <x:v>RECONSTRUCTED</x:v>
      </x:c>
      <x:c r="H320"/>
    </x:row>
    <x:row r="321">
      <x:c r="A321" s="54" t="str">
        <x:v>QAR-0046</x:v>
      </x:c>
      <x:c r="B321" s="54" t="str">
        <x:v>Mizzen Topsail</x:v>
      </x:c>
      <x:c r="C321" s="64" t="n">
        <x:v>1</x:v>
      </x:c>
      <x:c r="D321" s="64" t="str">
        <x:v>EA</x:v>
      </x:c>
      <x:c r="E321" s="64" t="n">
        <x:v>280</x:v>
      </x:c>
      <x:c r="F321" s="64" t="n">
        <x:v>280</x:v>
      </x:c>
      <x:c r="G321" s="54" t="str">
        <x:v>RECONSTRUCTED</x:v>
      </x:c>
      <x:c r="H321"/>
    </x:row>
    <x:row r="322">
      <x:c r="A322" s="54" t="str">
        <x:v>QAR-0047</x:v>
      </x:c>
      <x:c r="B322" s="54" t="str">
        <x:v>Spritsail</x:v>
      </x:c>
      <x:c r="C322" s="64" t="n">
        <x:v>1</x:v>
      </x:c>
      <x:c r="D322" s="64" t="str">
        <x:v>EA</x:v>
      </x:c>
      <x:c r="E322" s="64" t="n">
        <x:v>170</x:v>
      </x:c>
      <x:c r="F322" s="64" t="n">
        <x:v>170</x:v>
      </x:c>
      <x:c r="G322" s="54" t="str">
        <x:v>RECONSTRUCTED</x:v>
      </x:c>
      <x:c r="H322"/>
    </x:row>
    <x:row r="323">
      <x:c r="A323" s="54" t="str">
        <x:v>QAR-0048</x:v>
      </x:c>
      <x:c r="B323" s="54" t="str">
        <x:v>Spritsail Topsail</x:v>
      </x:c>
      <x:c r="C323" s="64" t="n">
        <x:v>1</x:v>
      </x:c>
      <x:c r="D323" s="64" t="str">
        <x:v>EA</x:v>
      </x:c>
      <x:c r="E323" s="64" t="n">
        <x:v>280</x:v>
      </x:c>
      <x:c r="F323" s="64" t="n">
        <x:v>280</x:v>
      </x:c>
      <x:c r="G323" s="54" t="str">
        <x:v>RECONSTRUCTED</x:v>
      </x:c>
      <x:c r="H323"/>
    </x:row>
    <x:row r="324">
      <x:c r="A324" s="54" t="str">
        <x:v>QAR-0049</x:v>
      </x:c>
      <x:c r="B324" s="54" t="str">
        <x:v>Main Staysail</x:v>
      </x:c>
      <x:c r="C324" s="64" t="n">
        <x:v>1</x:v>
      </x:c>
      <x:c r="D324" s="64" t="str">
        <x:v>EA</x:v>
      </x:c>
      <x:c r="E324" s="64" t="n">
        <x:v>170</x:v>
      </x:c>
      <x:c r="F324" s="64" t="n">
        <x:v>170</x:v>
      </x:c>
      <x:c r="G324" s="54" t="str">
        <x:v>RECONSTRUCTED</x:v>
      </x:c>
      <x:c r="H324"/>
    </x:row>
    <x:row r="325">
      <x:c r="A325" s="54" t="str">
        <x:v>QAR-0050</x:v>
      </x:c>
      <x:c r="B325" s="54" t="str">
        <x:v>Fore Staysail</x:v>
      </x:c>
      <x:c r="C325" s="64" t="n">
        <x:v>1</x:v>
      </x:c>
      <x:c r="D325" s="64" t="str">
        <x:v>EA</x:v>
      </x:c>
      <x:c r="E325" s="64" t="n">
        <x:v>170</x:v>
      </x:c>
      <x:c r="F325" s="64" t="n">
        <x:v>170</x:v>
      </x:c>
      <x:c r="G325" s="54" t="str">
        <x:v>RECONSTRUCTED</x:v>
      </x:c>
      <x:c r="H325"/>
    </x:row>
    <x:row r="326">
      <x:c r="A326" s="54" t="str">
        <x:v>QAR-0051</x:v>
      </x:c>
      <x:c r="B326" s="54" t="str">
        <x:v>Jib</x:v>
      </x:c>
      <x:c r="C326" s="64" t="n">
        <x:v>1</x:v>
      </x:c>
      <x:c r="D326" s="64" t="str">
        <x:v>EA</x:v>
      </x:c>
      <x:c r="E326" s="64" t="n">
        <x:v>170</x:v>
      </x:c>
      <x:c r="F326" s="64" t="n">
        <x:v>170</x:v>
      </x:c>
      <x:c r="G326" s="54" t="str">
        <x:v>RECONSTRUCTED</x:v>
      </x:c>
      <x:c r="H326"/>
    </x:row>
    <x:row r="327">
      <x:c r="A327" s="54" t="str">
        <x:v>QAR-0052</x:v>
      </x:c>
      <x:c r="B327" s="54" t="str">
        <x:v>Flying Jib</x:v>
      </x:c>
      <x:c r="C327" s="64" t="n">
        <x:v>1</x:v>
      </x:c>
      <x:c r="D327" s="64" t="str">
        <x:v>EA</x:v>
      </x:c>
      <x:c r="E327" s="64" t="n">
        <x:v>170</x:v>
      </x:c>
      <x:c r="F327" s="64" t="n">
        <x:v>170</x:v>
      </x:c>
      <x:c r="G327" s="54" t="str">
        <x:v>RECONSTRUCTED</x:v>
      </x:c>
      <x:c r="H327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70" hidden="0" customWidth="1"/>
    <x:col min="4" max="4" width="70" hidden="0" customWidth="1"/>
  </x:cols>
  <x:sheetData>
    <x:row r="1" ht="34" customHeight="1">
      <x:c r="A1" s="3" t="str">
        <x:v>SOURCE REGISTER</x:v>
      </x:c>
      <x:c r="B1" s="3"/>
      <x:c r="C1" s="3"/>
      <x:c r="D1" s="3"/>
    </x:row>
    <x:row r="2" ht="28" customHeight="1">
      <x:c r="A2" s="6" t="str">
        <x:v>Audit trail for historical evidence, comparables and explicitly fictional reconstruction controls</x:v>
      </x:c>
      <x:c r="B2" s="6"/>
      <x:c r="C2" s="6"/>
      <x:c r="D2" s="6"/>
    </x:row>
    <x:row r="3" ht="25" customHeight="1">
      <x:c r="A3" s="60" t="str">
        <x:v>SourceCode</x:v>
      </x:c>
      <x:c r="B3" s="61" t="str">
        <x:v>Source</x:v>
      </x:c>
      <x:c r="C3" s="61" t="str">
        <x:v>URL</x:v>
      </x:c>
      <x:c r="D3" s="62" t="str">
        <x:v>Use in Dataset</x:v>
      </x:c>
    </x:row>
    <x:row r="4" ht="45" customHeight="1">
      <x:c r="A4" s="54" t="str">
        <x:v>QAR-HIST</x:v>
      </x:c>
      <x:c r="B4" s="54" t="str">
        <x:v>Queen Anne's Revenge Project - Ship's Journey</x:v>
      </x:c>
      <x:c r="C4" s="65" t="str">
        <x:v>https://www.qaronline.org/history/ships-journey</x:v>
      </x:c>
      <x:c r="D4" s="65" t="str">
        <x:v>Official NC source for La Concorde/QAR history, 200-ton documented vessel, 16 cannon before capture, and primary-document context.</x:v>
      </x:c>
    </x:row>
    <x:row r="5" ht="45" customHeight="1">
      <x:c r="A5" s="54" t="str">
        <x:v>QAR-ARMS</x:v>
      </x:c>
      <x:c r="B5" s="54" t="str">
        <x:v>Queen Anne's Revenge Project - Arms and Armament</x:v>
      </x:c>
      <x:c r="C5" s="65" t="str">
        <x:v>https://www.qaronline.org/conservation/artifacts/arms-and-armament</x:v>
      </x:c>
      <x:c r="D5" s="65" t="str">
        <x:v>Official artifact categories including cannon, carriages, shot, bar shot, langrage, wads, tompions, aprons, tools, grenades, firearms and lead shot. Historical accounts refer to as many as 40 cannon.</x:v>
      </x:c>
    </x:row>
    <x:row r="6" ht="45" customHeight="1">
      <x:c r="A6" s="54" t="str">
        <x:v>QAR-TOOLS</x:v>
      </x:c>
      <x:c r="B6" s="54" t="str">
        <x:v>Queen Anne's Revenge Project - Tools and Instruments</x:v>
      </x:c>
      <x:c r="C6" s="65" t="str">
        <x:v>https://www.qaronline.org/conservation/artifacts/tools-and-instruments</x:v>
      </x:c>
      <x:c r="D6" s="65" t="str">
        <x:v>Official recovered-tool categories supporting navigation, gunnery, carpentry, medicine, rigging, sharpening and surveying items.</x:v>
      </x:c>
    </x:row>
    <x:row r="7" ht="45" customHeight="1">
      <x:c r="A7" s="54" t="str">
        <x:v>QAR-SUST</x:v>
      </x:c>
      <x:c r="B7" s="54" t="str">
        <x:v>Queen Anne's Revenge Project - Sustenance</x:v>
      </x:c>
      <x:c r="C7" s="65" t="str">
        <x:v>https://www.qaronline.org/conservation/artifacts/sustenance</x:v>
      </x:c>
      <x:c r="D7" s="65" t="str">
        <x:v>Official recovered food preparation, serving and beverage-storage artifacts.</x:v>
      </x:c>
    </x:row>
    <x:row r="8" ht="45" customHeight="1">
      <x:c r="A8" s="54" t="str">
        <x:v>QAR-STOR</x:v>
      </x:c>
      <x:c r="B8" s="54" t="str">
        <x:v>Queen Anne's Revenge Project - Storage</x:v>
      </x:c>
      <x:c r="C8" s="65" t="str">
        <x:v>https://www.qaronline.org/conservation/artifacts/storage</x:v>
      </x:c>
      <x:c r="D8" s="65" t="str">
        <x:v>Official evidence for ceramic, glass, leather and wooden storage containers, including cask fragments and hoops.</x:v>
      </x:c>
    </x:row>
    <x:row r="9" ht="45" customHeight="1">
      <x:c r="A9" s="54" t="str">
        <x:v>QAR-SHIP</x:v>
      </x:c>
      <x:c r="B9" s="54" t="str">
        <x:v>Queen Anne's Revenge Project - Ship Components</x:v>
      </x:c>
      <x:c r="C9" s="65" t="str">
        <x:v>https://www.qaronline.org/conservation/artifacts/ship-components</x:v>
      </x:c>
      <x:c r="D9" s="65" t="str">
        <x:v>Official recovered hull and fitting categories including planks, sacrificial sheathing, frames, nails, spikes, pins, rope, sail fragments, bell, sternpost and treenails.</x:v>
      </x:c>
    </x:row>
    <x:row r="10" ht="45" customHeight="1">
      <x:c r="A10" s="54" t="str">
        <x:v>QAR-PERS</x:v>
      </x:c>
      <x:c r="B10" s="54" t="str">
        <x:v>Queen Anne's Revenge Project - Personal Possessions</x:v>
      </x:c>
      <x:c r="C10" s="65" t="str">
        <x:v>https://www.qaronline.org/conservation/artifacts/personal-possessions</x:v>
      </x:c>
      <x:c r="D10" s="65" t="str">
        <x:v>Official recovered personal-effect categories including buttons, pins, buckles, pipe fragments, gaming pieces and precious-metal traces.</x:v>
      </x:c>
    </x:row>
    <x:row r="11" ht="45" customHeight="1">
      <x:c r="A11" s="54" t="str">
        <x:v>MARY-ROLL</x:v>
      </x:c>
      <x:c r="B11" s="54" t="str">
        <x:v>Mary Rose Museum - Anthony Roll Translation</x:v>
      </x:c>
      <x:c r="C11" s="65" t="str">
        <x:v>https://maryrose.org/discover/history/anthony-roll/</x:v>
      </x:c>
      <x:c r="D11" s="65" t="str">
        <x:v>Comparative contemporary warship inventory with exact quantities for armament, ammunition, tools, rope, nails and other stores.</x:v>
      </x:c>
    </x:row>
    <x:row r="12" ht="45" customHeight="1">
      <x:c r="A12" s="54" t="str">
        <x:v>RECON</x:v>
      </x:c>
      <x:c r="B12" s="54" t="str">
        <x:v>Queen Anne's Revenge Reconstruction Dataset</x:v>
      </x:c>
      <x:c r="C12" s="65" t="str"/>
      <x:c r="D12" s="65" t="str">
        <x:v>Operational hierarchy, quantities, kit boundaries and many period-typical items are reconstructed for a public Buildbooks demonstration and are not claimed as the exact 1718 manifest.</x:v>
      </x:c>
    </x:row>
    <x:row r="13" ht="45" customHeight="1">
      <x:c r="A13" s="54" t="str">
        <x:v>FICTION</x:v>
      </x:c>
      <x:c r="B13" s="54" t="str">
        <x:v>Fictional Reconstruction-Yard Controls</x:v>
      </x:c>
      <x:c r="C13" s="65" t="str"/>
      <x:c r="D13" s="65" t="str">
        <x:v>Safety labels, internal barcodes, inspection controls and some presentation elements are intentionally fictional and clearly marked.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72" hidden="0" customWidth="1"/>
  </x:cols>
  <x:sheetData>
    <x:row r="1" ht="34" customHeight="1">
      <x:c r="A1" s="3" t="str">
        <x:v>VALIDATION</x:v>
      </x:c>
      <x:c r="B1" s="3"/>
      <x:c r="C1" s="3"/>
      <x:c r="D1" s="3"/>
    </x:row>
    <x:row r="2" ht="28" customHeight="1">
      <x:c r="A2" s="6" t="str">
        <x:v>Programmatic graph validation plus workbook formula checks</x:v>
      </x:c>
      <x:c r="B2" s="6"/>
      <x:c r="C2" s="6"/>
      <x:c r="D2" s="6"/>
    </x:row>
    <x:row r="3" ht="25" customHeight="1">
      <x:c r="A3" s="60" t="str">
        <x:v>Check</x:v>
      </x:c>
      <x:c r="B3" s="61" t="str">
        <x:v>Result</x:v>
      </x:c>
      <x:c r="C3" s="61" t="str">
        <x:v>Count</x:v>
      </x:c>
      <x:c r="D3" s="62" t="str">
        <x:v>Detail</x:v>
      </x:c>
    </x:row>
    <x:row r="4">
      <x:c r="A4" s="54" t="str">
        <x:v>Missing inventory references</x:v>
      </x:c>
      <x:c r="B4" s="54" t="str">
        <x:v>PASS</x:v>
      </x:c>
      <x:c r="C4" s="54" t="n">
        <x:v>0</x:v>
      </x:c>
      <x:c r="D4" s="65" t="str">
        <x:v>Every AssemblySKU and PartSKU exists in Inventory.</x:v>
      </x:c>
    </x:row>
    <x:row r="5">
      <x:c r="A5" s="54" t="str">
        <x:v>Duplicate relationships</x:v>
      </x:c>
      <x:c r="B5" s="54" t="str">
        <x:v>PASS</x:v>
      </x:c>
      <x:c r="C5" s="54" t="n">
        <x:v>0</x:v>
      </x:c>
      <x:c r="D5" s="65" t="str">
        <x:v>No AssemblySKU + PartSKU pair is repeated.</x:v>
      </x:c>
    </x:row>
    <x:row r="6">
      <x:c r="A6" s="54" t="str">
        <x:v>Invalid quantities</x:v>
      </x:c>
      <x:c r="B6" s="54" t="str">
        <x:v>PASS</x:v>
      </x:c>
      <x:c r="C6" s="54" t="n">
        <x:v>0</x:v>
      </x:c>
      <x:c r="D6" s="65" t="str">
        <x:v>All quantities are finite and greater than zero.</x:v>
      </x:c>
    </x:row>
    <x:row r="7">
      <x:c r="A7" s="54" t="str">
        <x:v>Self references</x:v>
      </x:c>
      <x:c r="B7" s="54" t="str">
        <x:v>PASS</x:v>
      </x:c>
      <x:c r="C7" s="54" t="n">
        <x:v>0</x:v>
      </x:c>
      <x:c r="D7" s="65" t="str">
        <x:v>No assembly contains itself directly.</x:v>
      </x:c>
    </x:row>
    <x:row r="8">
      <x:c r="A8" s="54" t="str">
        <x:v>Recursive cycles</x:v>
      </x:c>
      <x:c r="B8" s="54" t="str">
        <x:v>PASS</x:v>
      </x:c>
      <x:c r="C8" s="54" t="n">
        <x:v>0</x:v>
      </x:c>
      <x:c r="D8" s="65" t="str">
        <x:v>Depth-first validation found no cycles reachable from QAR-0001.</x:v>
      </x:c>
    </x:row>
    <x:row r="9">
      <x:c r="A9" s="54" t="str">
        <x:v>Unreachable inventory items</x:v>
      </x:c>
      <x:c r="B9" s="54" t="str">
        <x:v>PASS</x:v>
      </x:c>
      <x:c r="C9" s="54" t="n">
        <x:v>0</x:v>
      </x:c>
      <x:c r="D9" s="65" t="str">
        <x:v>Every inventory item participates in the QAR-0001 tree.</x:v>
      </x:c>
    </x:row>
    <x:row r="10">
      <x:c r="A10" s="54" t="str">
        <x:v>Compact SKU format</x:v>
      </x:c>
      <x:c r="B10" s="54" t="str">
        <x:v>PASS</x:v>
      </x:c>
      <x:c r="C10" s="54" t="n">
        <x:v>0</x:v>
      </x:c>
      <x:c r="D10" s="65" t="str">
        <x:v>Every LocalSKU matches PREFIX-#### and is exactly eight characters.</x:v>
      </x:c>
    </x:row>
    <x:row r="11">
      <x:c r="A11" s="54" t="str">
        <x:v>SKU map coverage</x:v>
      </x:c>
      <x:c r="B11" s="54" t="str">
        <x:v>PASS</x:v>
      </x:c>
      <x:c r="C11" s="54" t="n">
        <x:v>428</x:v>
      </x:c>
      <x:c r="D11" s="65" t="str">
        <x:v>Every v0.1 inventory record has one unique v0.2 identifier.</x:v>
      </x:c>
    </x:row>
    <x:row r="12">
      <x:c r="A12" s="54" t="str">
        <x:v>Ship-specific SKU count</x:v>
      </x:c>
      <x:c r="B12" s="54" t="str">
        <x:v>INFO</x:v>
      </x:c>
      <x:c r="C12" s="54" t="n">
        <x:v>54</x:v>
      </x:c>
      <x:c r="D12" s="65" t="str">
        <x:v>Vessel, systems and fitted configurations reserved to QAR.</x:v>
      </x:c>
    </x:row>
    <x:row r="13">
      <x:c r="A13" s="54" t="str">
        <x:v>Shared SKU count</x:v>
      </x:c>
      <x:c r="B13" s="54" t="str">
        <x:v>INFO</x:v>
      </x:c>
      <x:c r="C13" s="54" t="n">
        <x:v>374</x:v>
      </x:c>
      <x:c r="D13" s="65" t="str">
        <x:v>Reusable parts, materials, kits, outfits, packages, labels and documents.</x:v>
      </x:c>
    </x:row>
    <x:row r="14">
      <x:c r="A14" s="54" t="str">
        <x:v>Maximum recursive depth</x:v>
      </x:c>
      <x:c r="B14" s="54" t="str">
        <x:v>INFO</x:v>
      </x:c>
      <x:c r="C14" s="54" t="n">
        <x:v>6</x:v>
      </x:c>
      <x:c r="D14" s="65" t="str">
        <x:v>Root vessel is depth 0.</x:v>
      </x:c>
    </x:row>
    <x:row r="15">
      <x:c r="A15" s="54" t="str">
        <x:v>Tree path rows</x:v>
      </x:c>
      <x:c r="B15" s="54" t="str">
        <x:v>INFO</x:v>
      </x:c>
      <x:c r="C15" s="54" t="n">
        <x:v>575</x:v>
      </x:c>
      <x:c r="D15" s="65" t="str">
        <x:v>One row per unique path relationship after quantity propagation.</x:v>
      </x:c>
    </x:row>
    <x:row r="16">
      <x:c r="A16" s="54" t="str">
        <x:v>Unique exploded leaf SKUs</x:v>
      </x:c>
      <x:c r="B16" s="54" t="str">
        <x:v>INFO</x:v>
      </x:c>
      <x:c r="C16" s="54" t="n">
        <x:v>324</x:v>
      </x:c>
      <x:c r="D16" s="65" t="str">
        <x:v>Repeated leaf components are aggregated by SKU.</x:v>
      </x:c>
    </x:row>
  </x:sheetData>
  <x:mergeCells>
    <x:mergeCell ref="A1:D1"/>
    <x:mergeCell ref="A2:D2"/>
  </x:mergeCells>
  <x:conditionalFormatting sqref="B4:B16">
    <x:cfRule type="expression" dxfId="7" priority="1">
      <x:formula>B4="PASS"</x:formula>
    </x:cfRule>
  </x:conditionalFormatting>
  <x:pageMargins left="0.7" right="0.7" top="0.75" bottom="0.75" header="0.3" footer="0.3"/>
</x:worksheet>
</file>